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gu\MU_Code\software_engineering_lab\lab6\"/>
    </mc:Choice>
  </mc:AlternateContent>
  <xr:revisionPtr revIDLastSave="0" documentId="13_ncr:1_{857728BD-5EE7-426B-B642-5D9EBEC71AE1}" xr6:coauthVersionLast="47" xr6:coauthVersionMax="47" xr10:uidLastSave="{00000000-0000-0000-0000-000000000000}"/>
  <bookViews>
    <workbookView xWindow="-110" yWindow="-110" windowWidth="19420" windowHeight="10420" firstSheet="2" activeTab="7" xr2:uid="{00000000-000D-0000-FFFF-FFFF00000000}"/>
  </bookViews>
  <sheets>
    <sheet name="Data generator" sheetId="7" state="hidden" r:id="rId1"/>
    <sheet name="Solution" sheetId="17" state="hidden" r:id="rId2"/>
    <sheet name="Description" sheetId="4" r:id="rId3"/>
    <sheet name="Process" sheetId="16" r:id="rId4"/>
    <sheet name="Data" sheetId="13" r:id="rId5"/>
    <sheet name="Assignment" sheetId="1" r:id="rId6"/>
    <sheet name="Calc-1" sheetId="9" r:id="rId7"/>
    <sheet name="Calc-2" sheetId="18" r:id="rId8"/>
    <sheet name="Calc-3" sheetId="10" r:id="rId9"/>
    <sheet name="Calc-4" sheetId="11" r:id="rId10"/>
    <sheet name="Calc-5" sheetId="12" r:id="rId11"/>
  </sheets>
  <definedNames>
    <definedName name="DefectLog1A">#REF!</definedName>
    <definedName name="DefectLog2A">#REF!</definedName>
    <definedName name="DefectLog4A" localSheetId="6">'Calc-1'!#REF!</definedName>
    <definedName name="DefectLog4A" localSheetId="8">'Calc-3'!#REF!</definedName>
    <definedName name="DefectLog4A" localSheetId="9">'Calc-4'!#REF!</definedName>
    <definedName name="DefectLog4A" localSheetId="10">'Calc-5'!#REF!</definedName>
    <definedName name="DefectLog4A" localSheetId="1">Solution!#REF!</definedName>
    <definedName name="DefectLog4A">Assignment!#REF!</definedName>
    <definedName name="FunctionalSpecification6A" localSheetId="6">'Calc-1'!#REF!</definedName>
    <definedName name="FunctionalSpecification6A" localSheetId="8">'Calc-3'!#REF!</definedName>
    <definedName name="FunctionalSpecification6A" localSheetId="9">'Calc-4'!#REF!</definedName>
    <definedName name="FunctionalSpecification6A" localSheetId="10">'Calc-5'!#REF!</definedName>
    <definedName name="FunctionalSpecification6A" localSheetId="1">Solution!#REF!</definedName>
    <definedName name="FunctionalSpecification6A">Assignment!#REF!</definedName>
    <definedName name="go_to">#REF!</definedName>
    <definedName name="HistoricalData4A" localSheetId="6">'Calc-1'!#REF!</definedName>
    <definedName name="HistoricalData4A" localSheetId="8">'Calc-3'!#REF!</definedName>
    <definedName name="HistoricalData4A" localSheetId="9">'Calc-4'!#REF!</definedName>
    <definedName name="HistoricalData4A" localSheetId="10">'Calc-5'!#REF!</definedName>
    <definedName name="HistoricalData4A" localSheetId="1">Solution!#REF!</definedName>
    <definedName name="HistoricalData4A">Assignment!#REF!</definedName>
    <definedName name="InstructorAssessment1A">#REF!</definedName>
    <definedName name="InstructorAssessment2A">#REF!</definedName>
    <definedName name="InstructorAssessment4A" localSheetId="6">'Calc-1'!#REF!</definedName>
    <definedName name="InstructorAssessment4A" localSheetId="8">'Calc-3'!#REF!</definedName>
    <definedName name="InstructorAssessment4A" localSheetId="9">'Calc-4'!#REF!</definedName>
    <definedName name="InstructorAssessment4A" localSheetId="10">'Calc-5'!#REF!</definedName>
    <definedName name="InstructorAssessment4A" localSheetId="1">Solution!$A$39</definedName>
    <definedName name="InstructorAssessment4A">Assignment!$A$39</definedName>
    <definedName name="LessonLearned4A" localSheetId="6">'Calc-1'!#REF!</definedName>
    <definedName name="LessonLearned4A" localSheetId="8">'Calc-3'!#REF!</definedName>
    <definedName name="LessonLearned4A" localSheetId="9">'Calc-4'!#REF!</definedName>
    <definedName name="LessonLearned4A" localSheetId="10">'Calc-5'!#REF!</definedName>
    <definedName name="LessonLearned4A" localSheetId="1">Solution!#REF!</definedName>
    <definedName name="LessonLearned4A">Assignment!#REF!</definedName>
    <definedName name="Lessons1A">#REF!</definedName>
    <definedName name="LessonsLearned2A">#REF!</definedName>
    <definedName name="OperationalSpecification6A" localSheetId="6">'Calc-1'!#REF!</definedName>
    <definedName name="OperationalSpecification6A" localSheetId="8">'Calc-3'!#REF!</definedName>
    <definedName name="OperationalSpecification6A" localSheetId="9">'Calc-4'!#REF!</definedName>
    <definedName name="OperationalSpecification6A" localSheetId="10">'Calc-5'!#REF!</definedName>
    <definedName name="OperationalSpecification6A" localSheetId="1">Solution!#REF!</definedName>
    <definedName name="OperationalSpecification6A">Assignment!#REF!</definedName>
    <definedName name="PlanSummary1A">#REF!</definedName>
    <definedName name="_xlnm.Print_Area" localSheetId="4">Data!$A$1:$E$88</definedName>
    <definedName name="_xlnm.Print_Area" localSheetId="0">'Data generator'!$A$1:$F$88</definedName>
    <definedName name="_xlnm.Print_Area" localSheetId="2">Description!$A$1:$G$7</definedName>
    <definedName name="ProjectPlan2A">#REF!</definedName>
    <definedName name="ProjectPlanSummary4A" localSheetId="6">'Calc-1'!#REF!</definedName>
    <definedName name="ProjectPlanSummary4A" localSheetId="8">'Calc-3'!#REF!</definedName>
    <definedName name="ProjectPlanSummary4A" localSheetId="9">'Calc-4'!#REF!</definedName>
    <definedName name="ProjectPlanSummary4A" localSheetId="10">'Calc-5'!#REF!</definedName>
    <definedName name="ProjectPlanSummary4A" localSheetId="1">Solution!#REF!</definedName>
    <definedName name="ProjectPlanSummary4A">Assignment!#REF!</definedName>
    <definedName name="Schedule6A" localSheetId="6">'Calc-1'!#REF!</definedName>
    <definedName name="Schedule6A" localSheetId="8">'Calc-3'!#REF!</definedName>
    <definedName name="Schedule6A" localSheetId="9">'Calc-4'!#REF!</definedName>
    <definedName name="Schedule6A" localSheetId="10">'Calc-5'!#REF!</definedName>
    <definedName name="Schedule6A" localSheetId="1">Solution!#REF!</definedName>
    <definedName name="Schedule6A">Assignment!#REF!</definedName>
    <definedName name="SizeEstimate4A" localSheetId="6">'Calc-1'!#REF!</definedName>
    <definedName name="SizeEstimate4A" localSheetId="8">'Calc-3'!#REF!</definedName>
    <definedName name="SizeEstimate4A" localSheetId="9">'Calc-4'!#REF!</definedName>
    <definedName name="SizeEstimate4A" localSheetId="10">'Calc-5'!#REF!</definedName>
    <definedName name="SizeEstimate4A" localSheetId="1">Solution!#REF!</definedName>
    <definedName name="SizeEstimate4A">Assignment!#REF!</definedName>
    <definedName name="Source1A">#REF!</definedName>
    <definedName name="SourceCode2A">#REF!</definedName>
    <definedName name="SourceCode4A" localSheetId="6">'Calc-1'!#REF!</definedName>
    <definedName name="SourceCode4A" localSheetId="8">'Calc-3'!#REF!</definedName>
    <definedName name="SourceCode4A" localSheetId="9">'Calc-4'!#REF!</definedName>
    <definedName name="SourceCode4A" localSheetId="10">'Calc-5'!#REF!</definedName>
    <definedName name="SourceCode4A" localSheetId="1">Solution!#REF!</definedName>
    <definedName name="SourceCode4A">Assignment!#REF!</definedName>
    <definedName name="Standards1A">#REF!</definedName>
    <definedName name="TaskPlan6A" localSheetId="6">'Calc-1'!#REF!</definedName>
    <definedName name="TaskPlan6A" localSheetId="8">'Calc-3'!#REF!</definedName>
    <definedName name="TaskPlan6A" localSheetId="9">'Calc-4'!#REF!</definedName>
    <definedName name="TaskPlan6A" localSheetId="10">'Calc-5'!#REF!</definedName>
    <definedName name="TaskPlan6A" localSheetId="1">Solution!#REF!</definedName>
    <definedName name="TaskPlan6A">Assignment!#REF!</definedName>
    <definedName name="TestReport1A">#REF!</definedName>
    <definedName name="TestReport2A">#REF!</definedName>
    <definedName name="TestReport4A" localSheetId="6">'Calc-1'!#REF!</definedName>
    <definedName name="TestReport4A" localSheetId="8">'Calc-3'!#REF!</definedName>
    <definedName name="TestReport4A" localSheetId="9">'Calc-4'!#REF!</definedName>
    <definedName name="TestReport4A" localSheetId="10">'Calc-5'!#REF!</definedName>
    <definedName name="TestReport4A" localSheetId="1">Solution!#REF!</definedName>
    <definedName name="TestReport4A">Assignment!#REF!</definedName>
    <definedName name="TimeLog1A">#REF!</definedName>
    <definedName name="TimeLog4A" localSheetId="6">'Calc-1'!#REF!</definedName>
    <definedName name="TimeLog4A" localSheetId="8">'Calc-3'!#REF!</definedName>
    <definedName name="TimeLog4A" localSheetId="9">'Calc-4'!#REF!</definedName>
    <definedName name="TimeLog4A" localSheetId="10">'Calc-5'!#REF!</definedName>
    <definedName name="TimeLog4A" localSheetId="1">Solution!#REF!</definedName>
    <definedName name="TimeLog4A">Assignment!#REF!</definedName>
    <definedName name="TimeRecordingLog2A">#REF!</definedName>
    <definedName name="toc6A" localSheetId="6">'Calc-1'!#REF!</definedName>
    <definedName name="toc6A" localSheetId="8">'Calc-3'!#REF!</definedName>
    <definedName name="toc6A" localSheetId="9">'Calc-4'!#REF!</definedName>
    <definedName name="toc6A" localSheetId="10">'Calc-5'!#REF!</definedName>
    <definedName name="toc6A" localSheetId="1">Solution!$A$14</definedName>
    <definedName name="toc6A">Assignment!$A$14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3" i="10" l="1"/>
  <c r="C32" i="10"/>
  <c r="H112" i="1"/>
  <c r="G11" i="18"/>
  <c r="H11" i="18"/>
  <c r="K11" i="18"/>
  <c r="L11" i="18"/>
  <c r="G12" i="18"/>
  <c r="H12" i="18"/>
  <c r="K12" i="18"/>
  <c r="L12" i="18"/>
  <c r="G13" i="18"/>
  <c r="H13" i="18"/>
  <c r="L13" i="18"/>
  <c r="G14" i="18"/>
  <c r="L14" i="18"/>
  <c r="G15" i="18"/>
  <c r="L15" i="18"/>
  <c r="G16" i="18"/>
  <c r="L16" i="18"/>
  <c r="G17" i="18"/>
  <c r="H17" i="18"/>
  <c r="K17" i="18"/>
  <c r="L17" i="18"/>
  <c r="G18" i="18"/>
  <c r="H18" i="18"/>
  <c r="K18" i="18"/>
  <c r="L18" i="18"/>
  <c r="E4" i="9"/>
  <c r="F4" i="9"/>
  <c r="E5" i="9"/>
  <c r="F5" i="9"/>
  <c r="E6" i="9"/>
  <c r="F6" i="9"/>
  <c r="E7" i="9"/>
  <c r="F7" i="9"/>
  <c r="K7" i="9"/>
  <c r="E8" i="9"/>
  <c r="F8" i="9"/>
  <c r="J8" i="9"/>
  <c r="K8" i="9"/>
  <c r="E9" i="9"/>
  <c r="F9" i="9"/>
  <c r="J9" i="9"/>
  <c r="K9" i="9"/>
  <c r="E10" i="9"/>
  <c r="F10" i="9"/>
  <c r="J10" i="9"/>
  <c r="K10" i="9"/>
  <c r="E11" i="9"/>
  <c r="F11" i="9"/>
  <c r="J11" i="9"/>
  <c r="E12" i="9"/>
  <c r="F12" i="9"/>
  <c r="E13" i="9"/>
  <c r="F13" i="9"/>
  <c r="B16" i="9"/>
  <c r="E16" i="9"/>
  <c r="B17" i="9"/>
  <c r="B21" i="9"/>
  <c r="E21" i="9"/>
  <c r="B22" i="9"/>
  <c r="E22" i="9"/>
  <c r="E23" i="9"/>
  <c r="E24" i="9"/>
  <c r="E25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J41" i="9"/>
  <c r="B42" i="9"/>
  <c r="E42" i="9"/>
  <c r="I42" i="9"/>
  <c r="J42" i="9"/>
  <c r="B43" i="9"/>
  <c r="E43" i="9"/>
  <c r="I43" i="9"/>
  <c r="J43" i="9"/>
  <c r="E44" i="9"/>
  <c r="I44" i="9"/>
  <c r="J44" i="9"/>
  <c r="E45" i="9"/>
  <c r="I45" i="9"/>
  <c r="E46" i="9"/>
  <c r="E49" i="9"/>
  <c r="F49" i="9"/>
  <c r="E50" i="9"/>
  <c r="F50" i="9"/>
  <c r="E51" i="9"/>
  <c r="F51" i="9"/>
  <c r="E52" i="9"/>
  <c r="F52" i="9"/>
  <c r="E53" i="9"/>
  <c r="F53" i="9"/>
  <c r="E54" i="9"/>
  <c r="F54" i="9"/>
  <c r="E55" i="9"/>
  <c r="F55" i="9"/>
  <c r="E56" i="9"/>
  <c r="F56" i="9"/>
  <c r="E57" i="9"/>
  <c r="F57" i="9"/>
  <c r="E58" i="9"/>
  <c r="F58" i="9"/>
  <c r="B61" i="9"/>
  <c r="E61" i="9"/>
  <c r="B62" i="9"/>
  <c r="E62" i="9"/>
  <c r="E63" i="9"/>
  <c r="J63" i="9"/>
  <c r="E64" i="9"/>
  <c r="I64" i="9"/>
  <c r="J64" i="9"/>
  <c r="E65" i="9"/>
  <c r="I65" i="9"/>
  <c r="J65" i="9"/>
  <c r="C9" i="1"/>
  <c r="C10" i="1"/>
  <c r="D10" i="1"/>
  <c r="C12" i="1"/>
  <c r="C61" i="1"/>
  <c r="D61" i="1"/>
  <c r="C98" i="1"/>
  <c r="C99" i="1"/>
  <c r="C103" i="1"/>
  <c r="C104" i="1"/>
  <c r="C105" i="1"/>
  <c r="C106" i="1"/>
  <c r="C107" i="1"/>
  <c r="C108" i="1"/>
  <c r="H110" i="1"/>
  <c r="H111" i="1"/>
  <c r="H115" i="1"/>
  <c r="H116" i="1"/>
  <c r="F84" i="16"/>
  <c r="F90" i="16"/>
  <c r="D97" i="16"/>
  <c r="I104" i="16"/>
  <c r="I108" i="16"/>
  <c r="I112" i="16"/>
  <c r="I116" i="16"/>
  <c r="I120" i="16"/>
  <c r="B6" i="4"/>
  <c r="C9" i="17"/>
  <c r="C10" i="17"/>
  <c r="D10" i="17"/>
  <c r="C11" i="17"/>
  <c r="D11" i="17"/>
  <c r="C12" i="17"/>
  <c r="C59" i="17"/>
  <c r="D59" i="17"/>
  <c r="C3" i="7"/>
  <c r="D3" i="7"/>
  <c r="G3" i="7"/>
  <c r="C4" i="7"/>
  <c r="D4" i="7"/>
  <c r="G4" i="7"/>
  <c r="C5" i="7"/>
  <c r="D5" i="7"/>
  <c r="G5" i="7"/>
  <c r="C6" i="7"/>
  <c r="D6" i="7"/>
  <c r="G6" i="7"/>
  <c r="C7" i="7"/>
  <c r="D7" i="7"/>
  <c r="G7" i="7"/>
  <c r="C8" i="7"/>
  <c r="D8" i="7"/>
  <c r="G8" i="7"/>
  <c r="C9" i="7"/>
  <c r="D9" i="7"/>
  <c r="G9" i="7"/>
  <c r="C10" i="7"/>
  <c r="D10" i="7"/>
  <c r="G10" i="7"/>
  <c r="C11" i="7"/>
  <c r="D11" i="7"/>
  <c r="G11" i="7"/>
  <c r="C12" i="7"/>
  <c r="D12" i="7"/>
  <c r="G12" i="7"/>
  <c r="H3" i="7"/>
  <c r="I3" i="7"/>
  <c r="J3" i="7"/>
  <c r="C13" i="7"/>
  <c r="D13" i="7"/>
  <c r="G13" i="7"/>
  <c r="C14" i="7"/>
  <c r="D14" i="7"/>
  <c r="G14" i="7"/>
  <c r="C15" i="7"/>
  <c r="D15" i="7"/>
  <c r="G15" i="7"/>
  <c r="C16" i="7"/>
  <c r="D16" i="7"/>
  <c r="G16" i="7"/>
  <c r="C17" i="7"/>
  <c r="D17" i="7"/>
  <c r="G17" i="7"/>
  <c r="C18" i="7"/>
  <c r="D18" i="7"/>
  <c r="G18" i="7"/>
  <c r="C19" i="7"/>
  <c r="D19" i="7"/>
  <c r="G19" i="7"/>
  <c r="C20" i="7"/>
  <c r="D20" i="7"/>
  <c r="G20" i="7"/>
  <c r="C21" i="7"/>
  <c r="D21" i="7"/>
  <c r="G21" i="7"/>
  <c r="C22" i="7"/>
  <c r="D22" i="7"/>
  <c r="G22" i="7"/>
  <c r="C23" i="7"/>
  <c r="D23" i="7"/>
  <c r="G23" i="7"/>
  <c r="C24" i="7"/>
  <c r="D24" i="7"/>
  <c r="G24" i="7"/>
  <c r="C25" i="7"/>
  <c r="D25" i="7"/>
  <c r="G25" i="7"/>
  <c r="H13" i="7"/>
  <c r="I13" i="7"/>
  <c r="J13" i="7"/>
  <c r="C26" i="7"/>
  <c r="D26" i="7"/>
  <c r="G26" i="7"/>
  <c r="C27" i="7"/>
  <c r="D27" i="7"/>
  <c r="G27" i="7"/>
  <c r="C28" i="7"/>
  <c r="D28" i="7"/>
  <c r="G28" i="7"/>
  <c r="C29" i="7"/>
  <c r="D29" i="7"/>
  <c r="G29" i="7"/>
  <c r="C30" i="7"/>
  <c r="D30" i="7"/>
  <c r="G30" i="7"/>
  <c r="C31" i="7"/>
  <c r="D31" i="7"/>
  <c r="G31" i="7"/>
  <c r="C32" i="7"/>
  <c r="D32" i="7"/>
  <c r="G32" i="7"/>
  <c r="C33" i="7"/>
  <c r="D33" i="7"/>
  <c r="G33" i="7"/>
  <c r="C34" i="7"/>
  <c r="D34" i="7"/>
  <c r="G34" i="7"/>
  <c r="C35" i="7"/>
  <c r="D35" i="7"/>
  <c r="G35" i="7"/>
  <c r="H26" i="7"/>
  <c r="I26" i="7"/>
  <c r="J26" i="7"/>
  <c r="C39" i="7"/>
  <c r="D39" i="7"/>
  <c r="E39" i="7"/>
  <c r="F39" i="7"/>
  <c r="C40" i="7"/>
  <c r="D40" i="7"/>
  <c r="C41" i="7"/>
  <c r="D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I39" i="7"/>
  <c r="E40" i="7"/>
  <c r="F40" i="7"/>
  <c r="I40" i="7"/>
  <c r="E41" i="7"/>
  <c r="F41" i="7"/>
  <c r="I41" i="7"/>
  <c r="E42" i="7"/>
  <c r="F42" i="7"/>
  <c r="E43" i="7"/>
  <c r="F43" i="7"/>
  <c r="E44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I44" i="7"/>
  <c r="E45" i="7"/>
  <c r="I45" i="7"/>
  <c r="E46" i="7"/>
  <c r="I46" i="7"/>
  <c r="E47" i="7"/>
  <c r="E48" i="7"/>
  <c r="E49" i="7"/>
  <c r="I49" i="7"/>
  <c r="E50" i="7"/>
  <c r="I50" i="7"/>
  <c r="E51" i="7"/>
  <c r="I51" i="7"/>
  <c r="E52" i="7"/>
  <c r="E53" i="7"/>
  <c r="E54" i="7"/>
  <c r="E55" i="7"/>
  <c r="E56" i="7"/>
  <c r="E57" i="7"/>
  <c r="E58" i="7"/>
  <c r="D62" i="7"/>
  <c r="E62" i="7"/>
  <c r="F62" i="7"/>
  <c r="D63" i="7"/>
  <c r="E63" i="7"/>
  <c r="F63" i="7"/>
  <c r="D64" i="7"/>
  <c r="E65" i="7"/>
  <c r="E66" i="7"/>
  <c r="E67" i="7"/>
  <c r="E64" i="7"/>
  <c r="F64" i="7"/>
  <c r="D65" i="7"/>
  <c r="F65" i="7"/>
  <c r="D67" i="7"/>
  <c r="D66" i="7"/>
  <c r="F67" i="7"/>
  <c r="F66" i="7"/>
  <c r="E72" i="7"/>
  <c r="E73" i="7"/>
  <c r="E74" i="7"/>
  <c r="D78" i="7"/>
  <c r="E78" i="7"/>
  <c r="F78" i="7"/>
  <c r="D79" i="7"/>
  <c r="E79" i="7"/>
  <c r="F79" i="7"/>
  <c r="D83" i="7"/>
  <c r="E83" i="7"/>
  <c r="F83" i="7"/>
  <c r="D84" i="7"/>
  <c r="E84" i="7"/>
  <c r="F84" i="7"/>
  <c r="D85" i="7"/>
  <c r="E85" i="7"/>
  <c r="F85" i="7"/>
  <c r="D86" i="7"/>
  <c r="E86" i="7"/>
  <c r="F86" i="7"/>
  <c r="D87" i="7"/>
  <c r="E87" i="7"/>
  <c r="F87" i="7"/>
  <c r="D88" i="7"/>
  <c r="E88" i="7"/>
  <c r="F88" i="7"/>
  <c r="C103" i="7"/>
  <c r="D103" i="7"/>
  <c r="E103" i="7"/>
  <c r="B103" i="7"/>
  <c r="C104" i="7"/>
  <c r="D104" i="7"/>
  <c r="E104" i="7"/>
  <c r="F104" i="7"/>
  <c r="G104" i="7"/>
  <c r="H104" i="7"/>
  <c r="B104" i="7"/>
</calcChain>
</file>

<file path=xl/sharedStrings.xml><?xml version="1.0" encoding="utf-8"?>
<sst xmlns="http://schemas.openxmlformats.org/spreadsheetml/2006/main" count="1080" uniqueCount="419">
  <si>
    <t>Assignment:</t>
  </si>
  <si>
    <t>Table of Contents</t>
  </si>
  <si>
    <t>Instructor Assessment:</t>
  </si>
  <si>
    <t>Project Plan Summary</t>
  </si>
  <si>
    <t>Time Log</t>
  </si>
  <si>
    <t>Defect Log</t>
  </si>
  <si>
    <t>Size Estimation</t>
  </si>
  <si>
    <t>Test Report</t>
  </si>
  <si>
    <t>Conceptual Design</t>
  </si>
  <si>
    <t>Review Checklists</t>
  </si>
  <si>
    <t>Task Plan</t>
  </si>
  <si>
    <t>Schedule</t>
  </si>
  <si>
    <t>Operational Spec</t>
  </si>
  <si>
    <t>Functional Spec</t>
  </si>
  <si>
    <t>Logic Spec</t>
  </si>
  <si>
    <t>State spec</t>
  </si>
  <si>
    <t>Source Code</t>
  </si>
  <si>
    <t>LOC Counting Std</t>
  </si>
  <si>
    <t>LOC Coding Std</t>
  </si>
  <si>
    <t>Lessons Learned</t>
  </si>
  <si>
    <t>Actual Duration</t>
  </si>
  <si>
    <t>Planning</t>
  </si>
  <si>
    <t>Design</t>
  </si>
  <si>
    <t>Code</t>
  </si>
  <si>
    <t>Compile</t>
  </si>
  <si>
    <t>Test</t>
  </si>
  <si>
    <t>Postmortem</t>
  </si>
  <si>
    <t xml:space="preserve">go to </t>
  </si>
  <si>
    <t>Phase</t>
  </si>
  <si>
    <t>Type</t>
  </si>
  <si>
    <t>Data</t>
  </si>
  <si>
    <t>Instructor Assessment</t>
  </si>
  <si>
    <t>Total</t>
  </si>
  <si>
    <t>Aspect</t>
  </si>
  <si>
    <t>Criteria</t>
  </si>
  <si>
    <t>Possible Score</t>
  </si>
  <si>
    <t>Score</t>
  </si>
  <si>
    <t>Comment</t>
  </si>
  <si>
    <t>Objective:</t>
  </si>
  <si>
    <t xml:space="preserve"> - This homework assignment is be accomplished individually</t>
  </si>
  <si>
    <t>Deliverables:</t>
  </si>
  <si>
    <t>Name:</t>
  </si>
  <si>
    <t>Language:</t>
  </si>
  <si>
    <t>WebCT login:</t>
  </si>
  <si>
    <t>6700 Due:</t>
  </si>
  <si>
    <t>Size Estimate</t>
  </si>
  <si>
    <t>Base Size (B)</t>
  </si>
  <si>
    <t>LOC Deleted (D)</t>
  </si>
  <si>
    <t>LOC Modified (M)</t>
  </si>
  <si>
    <t>Methods</t>
  </si>
  <si>
    <t>New Objects</t>
  </si>
  <si>
    <t>Estimated New and Changed LOC (N)</t>
  </si>
  <si>
    <t>Estimated Total LOC (T)</t>
  </si>
  <si>
    <t>Calculation</t>
  </si>
  <si>
    <t>Logic</t>
  </si>
  <si>
    <t>I/O</t>
  </si>
  <si>
    <t>Text</t>
  </si>
  <si>
    <t>S</t>
  </si>
  <si>
    <t>M</t>
  </si>
  <si>
    <t>L</t>
  </si>
  <si>
    <t>Productivity</t>
  </si>
  <si>
    <t>Functional Specification</t>
  </si>
  <si>
    <t>Operational Scenario</t>
  </si>
  <si>
    <t>go to</t>
  </si>
  <si>
    <t>Name of this  file:</t>
  </si>
  <si>
    <t>Name of file:</t>
  </si>
  <si>
    <t xml:space="preserve">Changes have been made to 1.xls since the last homework submission:  </t>
  </si>
  <si>
    <t>Process Information</t>
  </si>
  <si>
    <t>to gain experience with estimating size and duration.</t>
  </si>
  <si>
    <t>The worksheets in this assignment provide you with a hypothetical historical development database as well as with a forecast of standard components for a hypothetical project.  Please use this information to determine the size and duration of the project.</t>
  </si>
  <si>
    <t>Notes:</t>
  </si>
  <si>
    <t>Identifier</t>
  </si>
  <si>
    <t>Total Loc</t>
  </si>
  <si>
    <t>Proxy1</t>
  </si>
  <si>
    <t>Proxy2</t>
  </si>
  <si>
    <t>Proxy3</t>
  </si>
  <si>
    <t>Proxy4</t>
  </si>
  <si>
    <t>Proxy5</t>
  </si>
  <si>
    <t>Proxy6</t>
  </si>
  <si>
    <t>Proxy7</t>
  </si>
  <si>
    <t>Proxy8</t>
  </si>
  <si>
    <t>Proxy9</t>
  </si>
  <si>
    <t>Proxy10</t>
  </si>
  <si>
    <t>Proxy11</t>
  </si>
  <si>
    <t>Proxy12</t>
  </si>
  <si>
    <t>Proxy13</t>
  </si>
  <si>
    <t>Proxy14</t>
  </si>
  <si>
    <t>Proxy15</t>
  </si>
  <si>
    <t>Proxy16</t>
  </si>
  <si>
    <t>Proxy17</t>
  </si>
  <si>
    <t>Proxy18</t>
  </si>
  <si>
    <t>Proxy19</t>
  </si>
  <si>
    <t>Proxy20</t>
  </si>
  <si>
    <t>Proxy21</t>
  </si>
  <si>
    <t>Proxy22</t>
  </si>
  <si>
    <t>Proxy23</t>
  </si>
  <si>
    <t>Proxy24</t>
  </si>
  <si>
    <t>Proxy25</t>
  </si>
  <si>
    <t>Est. LOC</t>
  </si>
  <si>
    <t>Actual LOC</t>
  </si>
  <si>
    <t>Est. Duration</t>
  </si>
  <si>
    <t>Project1</t>
  </si>
  <si>
    <t>Project2</t>
  </si>
  <si>
    <t>Project3</t>
  </si>
  <si>
    <t>Project4</t>
  </si>
  <si>
    <t>Project5</t>
  </si>
  <si>
    <t>Project6</t>
  </si>
  <si>
    <t>Project7</t>
  </si>
  <si>
    <t>Project8</t>
  </si>
  <si>
    <t>Project9</t>
  </si>
  <si>
    <t>Project10</t>
  </si>
  <si>
    <t>Project11</t>
  </si>
  <si>
    <t>Project12</t>
  </si>
  <si>
    <t>Project13</t>
  </si>
  <si>
    <t>Time in Phase To Date %</t>
  </si>
  <si>
    <t>Defects Injected To Date %</t>
  </si>
  <si>
    <t>Defects Removed To Date %</t>
  </si>
  <si>
    <t xml:space="preserve">Total  </t>
  </si>
  <si>
    <t>Base Program LOC</t>
  </si>
  <si>
    <t>Object LOC (BA)</t>
  </si>
  <si>
    <t>Base Additions</t>
  </si>
  <si>
    <t>Relative Size</t>
  </si>
  <si>
    <t>BA1</t>
  </si>
  <si>
    <t>BA2</t>
  </si>
  <si>
    <t>New Objects (NO)</t>
  </si>
  <si>
    <t>NO0</t>
  </si>
  <si>
    <t>NO1</t>
  </si>
  <si>
    <t>NO2</t>
  </si>
  <si>
    <t>NO3</t>
  </si>
  <si>
    <t>NO4</t>
  </si>
  <si>
    <t>NO5</t>
  </si>
  <si>
    <r>
      <t>Object Category Sizes</t>
    </r>
    <r>
      <rPr>
        <sz val="10"/>
        <rFont val="Arial"/>
        <family val="2"/>
      </rPr>
      <t xml:space="preserve"> (in LOC/Method)</t>
    </r>
  </si>
  <si>
    <t>Category</t>
  </si>
  <si>
    <t>VS midpoint</t>
  </si>
  <si>
    <t>S midpoint</t>
  </si>
  <si>
    <t>M midpoint</t>
  </si>
  <si>
    <t>L midpoint</t>
  </si>
  <si>
    <t>VL midpoint</t>
  </si>
  <si>
    <t>IO</t>
  </si>
  <si>
    <t>Set-up</t>
  </si>
  <si>
    <t>Base Additions (BA)</t>
  </si>
  <si>
    <t>New Object LOC (NO)</t>
  </si>
  <si>
    <t>Estimated Object LOC (E)</t>
  </si>
  <si>
    <t>E=BA+NO+M</t>
  </si>
  <si>
    <t>Regression Parm</t>
  </si>
  <si>
    <r>
      <t>B</t>
    </r>
    <r>
      <rPr>
        <vertAlign val="subscript"/>
        <sz val="10"/>
        <rFont val="Arial"/>
        <family val="2"/>
      </rPr>
      <t>0</t>
    </r>
  </si>
  <si>
    <r>
      <t>B</t>
    </r>
    <r>
      <rPr>
        <vertAlign val="subscript"/>
        <sz val="10"/>
        <rFont val="Arial"/>
        <family val="2"/>
      </rPr>
      <t>1</t>
    </r>
    <r>
      <rPr>
        <sz val="10"/>
        <rFont val="Arial"/>
      </rPr>
      <t/>
    </r>
  </si>
  <si>
    <r>
      <t>N=B</t>
    </r>
    <r>
      <rPr>
        <vertAlign val="subscript"/>
        <sz val="10"/>
        <rFont val="Arial"/>
        <family val="2"/>
      </rPr>
      <t>0</t>
    </r>
    <r>
      <rPr>
        <sz val="10"/>
        <rFont val="Arial"/>
      </rPr>
      <t>+B</t>
    </r>
    <r>
      <rPr>
        <vertAlign val="subscript"/>
        <sz val="10"/>
        <rFont val="Arial"/>
        <family val="2"/>
      </rPr>
      <t>1</t>
    </r>
    <r>
      <rPr>
        <sz val="10"/>
        <rFont val="Arial"/>
      </rPr>
      <t>*E</t>
    </r>
  </si>
  <si>
    <t>T=N+B-D-M</t>
  </si>
  <si>
    <r>
      <t>70% Prediction Range (Range</t>
    </r>
    <r>
      <rPr>
        <vertAlign val="subscript"/>
        <sz val="10"/>
        <rFont val="Arial"/>
        <family val="2"/>
      </rPr>
      <t>size</t>
    </r>
    <r>
      <rPr>
        <sz val="10"/>
        <rFont val="Arial"/>
      </rPr>
      <t>)</t>
    </r>
  </si>
  <si>
    <r>
      <t>Range</t>
    </r>
    <r>
      <rPr>
        <vertAlign val="subscript"/>
        <sz val="10"/>
        <rFont val="Arial"/>
        <family val="2"/>
      </rPr>
      <t>size</t>
    </r>
  </si>
  <si>
    <r>
      <t>Upper Prediction Interval (UPI</t>
    </r>
    <r>
      <rPr>
        <vertAlign val="subscript"/>
        <sz val="10"/>
        <rFont val="Arial"/>
        <family val="2"/>
      </rPr>
      <t>size</t>
    </r>
    <r>
      <rPr>
        <sz val="10"/>
        <rFont val="Arial"/>
      </rPr>
      <t>)</t>
    </r>
  </si>
  <si>
    <r>
      <t>UPI</t>
    </r>
    <r>
      <rPr>
        <vertAlign val="subscript"/>
        <sz val="10"/>
        <rFont val="Arial"/>
        <family val="2"/>
      </rPr>
      <t>size</t>
    </r>
    <r>
      <rPr>
        <sz val="10"/>
        <rFont val="Arial"/>
      </rPr>
      <t>=N+Range</t>
    </r>
    <r>
      <rPr>
        <vertAlign val="subscript"/>
        <sz val="10"/>
        <rFont val="Arial"/>
        <family val="2"/>
      </rPr>
      <t>size</t>
    </r>
  </si>
  <si>
    <r>
      <t>Lower Prediction Interval (LPI</t>
    </r>
    <r>
      <rPr>
        <vertAlign val="subscript"/>
        <sz val="10"/>
        <rFont val="Arial"/>
        <family val="2"/>
      </rPr>
      <t>size</t>
    </r>
    <r>
      <rPr>
        <sz val="10"/>
        <rFont val="Arial"/>
      </rPr>
      <t>)</t>
    </r>
  </si>
  <si>
    <r>
      <t>LPI</t>
    </r>
    <r>
      <rPr>
        <vertAlign val="subscript"/>
        <sz val="10"/>
        <rFont val="Arial"/>
        <family val="2"/>
      </rPr>
      <t>size</t>
    </r>
    <r>
      <rPr>
        <sz val="10"/>
        <rFont val="Arial"/>
      </rPr>
      <t>=N-Range</t>
    </r>
    <r>
      <rPr>
        <vertAlign val="subscript"/>
        <sz val="10"/>
        <rFont val="Arial"/>
        <family val="2"/>
      </rPr>
      <t>size</t>
    </r>
  </si>
  <si>
    <t>Duration Estimate</t>
  </si>
  <si>
    <t>Planned LOC/hour</t>
  </si>
  <si>
    <r>
      <t>70% Prediction Range (Range</t>
    </r>
    <r>
      <rPr>
        <vertAlign val="subscript"/>
        <sz val="10"/>
        <rFont val="Arial"/>
        <family val="2"/>
      </rPr>
      <t>duration</t>
    </r>
    <r>
      <rPr>
        <sz val="10"/>
        <rFont val="Arial"/>
      </rPr>
      <t>)</t>
    </r>
  </si>
  <si>
    <r>
      <t>Range</t>
    </r>
    <r>
      <rPr>
        <vertAlign val="subscript"/>
        <sz val="10"/>
        <rFont val="Arial"/>
        <family val="2"/>
      </rPr>
      <t>duration</t>
    </r>
  </si>
  <si>
    <r>
      <t>Upper Prediction Interval (UPI</t>
    </r>
    <r>
      <rPr>
        <vertAlign val="subscript"/>
        <sz val="10"/>
        <rFont val="Arial"/>
        <family val="2"/>
      </rPr>
      <t>duration</t>
    </r>
    <r>
      <rPr>
        <sz val="10"/>
        <rFont val="Arial"/>
      </rPr>
      <t>)</t>
    </r>
  </si>
  <si>
    <r>
      <t>UPI</t>
    </r>
    <r>
      <rPr>
        <vertAlign val="subscript"/>
        <sz val="10"/>
        <rFont val="Arial"/>
        <family val="2"/>
      </rPr>
      <t>duration</t>
    </r>
    <r>
      <rPr>
        <sz val="10"/>
        <rFont val="Arial"/>
      </rPr>
      <t>=Time+Range</t>
    </r>
    <r>
      <rPr>
        <vertAlign val="subscript"/>
        <sz val="10"/>
        <rFont val="Arial"/>
        <family val="2"/>
      </rPr>
      <t>duration</t>
    </r>
  </si>
  <si>
    <r>
      <t>Lower Prediction Interval (LPI</t>
    </r>
    <r>
      <rPr>
        <vertAlign val="subscript"/>
        <sz val="10"/>
        <rFont val="Arial"/>
        <family val="2"/>
      </rPr>
      <t>duration</t>
    </r>
    <r>
      <rPr>
        <sz val="10"/>
        <rFont val="Arial"/>
      </rPr>
      <t>)</t>
    </r>
  </si>
  <si>
    <r>
      <t>LPI</t>
    </r>
    <r>
      <rPr>
        <vertAlign val="subscript"/>
        <sz val="10"/>
        <rFont val="Arial"/>
        <family val="2"/>
      </rPr>
      <t>duration</t>
    </r>
    <r>
      <rPr>
        <sz val="10"/>
        <rFont val="Arial"/>
      </rPr>
      <t>=Time-Range</t>
    </r>
    <r>
      <rPr>
        <vertAlign val="subscript"/>
        <sz val="10"/>
        <rFont val="Arial"/>
        <family val="2"/>
      </rPr>
      <t>duration</t>
    </r>
  </si>
  <si>
    <t>Proxy categorization</t>
  </si>
  <si>
    <t>Correct calculations</t>
  </si>
  <si>
    <t>Appropriate sizing</t>
  </si>
  <si>
    <t>Size estimate</t>
  </si>
  <si>
    <t>E derived from db</t>
  </si>
  <si>
    <t>Correct regression</t>
  </si>
  <si>
    <t>Correct range</t>
  </si>
  <si>
    <t>Duration</t>
  </si>
  <si>
    <t>Correct productivity</t>
  </si>
  <si>
    <t>Appropriate duration</t>
  </si>
  <si>
    <t>Time in Phase</t>
  </si>
  <si>
    <t>Correct distribution</t>
  </si>
  <si>
    <t>Supporting Calcs</t>
  </si>
  <si>
    <t>Base</t>
  </si>
  <si>
    <t>Method Used</t>
  </si>
  <si>
    <t>method=</t>
  </si>
  <si>
    <t>Parameters</t>
  </si>
  <si>
    <t>normal</t>
  </si>
  <si>
    <t>log-normal</t>
  </si>
  <si>
    <r>
      <t>LOC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x Time</t>
    </r>
  </si>
  <si>
    <r>
      <t>LOC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 xml:space="preserve"> x Time</t>
    </r>
  </si>
  <si>
    <t>6706 Due:</t>
  </si>
  <si>
    <r>
      <t xml:space="preserve">Estimates on New Development:  </t>
    </r>
    <r>
      <rPr>
        <sz val="14"/>
        <rFont val="Arial"/>
        <family val="2"/>
      </rPr>
      <t>Please provide answers to the questions below.  If a result is not calculable, please fill the box with a "NA" and defend your answer in the supporting calculations section.  Each cell should contain a number, "NA", or a value from a drop-down menu; do not indicate units (such as "min", "hr", "LOC", etc.)  Please do not leave any boxes blank;  I will assume that an empty box means you did not answer the question.</t>
    </r>
  </si>
  <si>
    <t xml:space="preserve"> - This spreadsheet with "Assignment" completed.</t>
  </si>
  <si>
    <t xml:space="preserve"> - (Optional) Explanatory calculations on worksheets "Calc-1", "Calc-2", etc.</t>
  </si>
  <si>
    <t>Traceable if in error (max of -2)</t>
  </si>
  <si>
    <t>Project History:  The following is a record of proxies used in past projects.</t>
  </si>
  <si>
    <t>Project History:  The following describes the to-date percentages for development time and defects.</t>
  </si>
  <si>
    <t>New Development:  The following information pertains to new development.  Specifically, it notes that the new development will build from pre-existing code, with some deletions and modifications.  New proxies (whether additions to the base code or totally new functionality) are also specified.</t>
  </si>
  <si>
    <t>LOC</t>
  </si>
  <si>
    <t>LOC/hour</t>
  </si>
  <si>
    <t>Estimated Project Duration (minutes)</t>
  </si>
  <si>
    <t>Minutes</t>
  </si>
  <si>
    <t>Time in Phase Estimate (minutes)</t>
  </si>
  <si>
    <t>not applicable</t>
  </si>
  <si>
    <t>ExA</t>
  </si>
  <si>
    <t>r</t>
  </si>
  <si>
    <t>r2</t>
  </si>
  <si>
    <t>sig</t>
  </si>
  <si>
    <t>ExT</t>
  </si>
  <si>
    <t>AxT</t>
  </si>
  <si>
    <t>loc/meth</t>
  </si>
  <si>
    <t>ave</t>
  </si>
  <si>
    <t>std</t>
  </si>
  <si>
    <t>type</t>
  </si>
  <si>
    <t>VL</t>
  </si>
  <si>
    <t>Proxy26</t>
  </si>
  <si>
    <t>Proxy27</t>
  </si>
  <si>
    <t>Proxy28</t>
  </si>
  <si>
    <t>Proxy29</t>
  </si>
  <si>
    <t>Proxy30</t>
  </si>
  <si>
    <t>Proxy31</t>
  </si>
  <si>
    <t>Proxy32</t>
  </si>
  <si>
    <t>Proxy33</t>
  </si>
  <si>
    <t>Project14</t>
  </si>
  <si>
    <t>Project15</t>
  </si>
  <si>
    <t>Project16</t>
  </si>
  <si>
    <t>Project17</t>
  </si>
  <si>
    <t>Project18</t>
  </si>
  <si>
    <t>Project19</t>
  </si>
  <si>
    <t>Project20</t>
  </si>
  <si>
    <t>Types</t>
  </si>
  <si>
    <t>VS</t>
  </si>
  <si>
    <t>history</t>
  </si>
  <si>
    <t>proxies</t>
  </si>
  <si>
    <t>Process Script</t>
  </si>
  <si>
    <t>Entry</t>
  </si>
  <si>
    <t>Tasks</t>
  </si>
  <si>
    <t>Exit</t>
  </si>
  <si>
    <t>Quality checks</t>
  </si>
  <si>
    <t>General</t>
  </si>
  <si>
    <t xml:space="preserve"> - complete "Assignment" worksheet</t>
  </si>
  <si>
    <t xml:space="preserve"> - (optional) intermediate calculations</t>
  </si>
  <si>
    <t>Object Category Sizes</t>
  </si>
  <si>
    <t>Is preference given to sizing proxy "buckets" along a normal distribution?</t>
  </si>
  <si>
    <t>Are proxy buckets sized by either a normal or log-normal distribution?</t>
  </si>
  <si>
    <t>Are proxy types sized consistently?</t>
  </si>
  <si>
    <t>Is the adjusted estimate of size calculated according to the relationship that exists between LOCe and LOCa?</t>
  </si>
  <si>
    <t>Est. LOC (LOCe)</t>
  </si>
  <si>
    <t>Actual LOC (LOCa)</t>
  </si>
  <si>
    <t>Is the range calculation valid?  It is correct?</t>
  </si>
  <si>
    <t>Are the regression parameters valid?  Are they correct?</t>
  </si>
  <si>
    <t>Does the Lower Prediction Interval (LPI) represent a valid concept?</t>
  </si>
  <si>
    <t>Is duration based on the size of new code?</t>
  </si>
  <si>
    <t>Are base additions and new objects sized according to the size matrix?</t>
  </si>
  <si>
    <t>Is the method used for duration estimation appropriate given the historical data?</t>
  </si>
  <si>
    <t xml:space="preserve">      calculate the average and standard deviation of the number of lines of code per method</t>
  </si>
  <si>
    <t xml:space="preserve">        VS=mean-2*std, S=mean-std, M=mean, L=mean+std, VL=mean+2*std</t>
  </si>
  <si>
    <t xml:space="preserve">      else</t>
  </si>
  <si>
    <t xml:space="preserve">         calculate the average and standard deviation of the log of the number of lines of code per method</t>
  </si>
  <si>
    <t xml:space="preserve">         VS=antilog(mean-2*std), S=antilog(mean-std), M=antilog(mean), etc.</t>
  </si>
  <si>
    <t>For each type do:</t>
  </si>
  <si>
    <t>Sort the proxies into types</t>
  </si>
  <si>
    <t xml:space="preserve">      if the mean &gt; 2*std, then</t>
  </si>
  <si>
    <t xml:space="preserve">      end if</t>
  </si>
  <si>
    <t>end do</t>
  </si>
  <si>
    <t>If LOCe is significantly correlated with LOCa</t>
  </si>
  <si>
    <t>else</t>
  </si>
  <si>
    <t xml:space="preserve">   B0=0 and B1=1</t>
  </si>
  <si>
    <t>end if</t>
  </si>
  <si>
    <t xml:space="preserve">   calculate range</t>
  </si>
  <si>
    <t xml:space="preserve">end if </t>
  </si>
  <si>
    <t xml:space="preserve">   calculate range according to table A29 (page 550)</t>
  </si>
  <si>
    <t xml:space="preserve">   calculate UPI and LPI</t>
  </si>
  <si>
    <t xml:space="preserve">   if LPI &lt; 1 then</t>
  </si>
  <si>
    <t>If LOCe is significantly correlated with LOCa then</t>
  </si>
  <si>
    <t xml:space="preserve">   end if</t>
  </si>
  <si>
    <t>1. Develop and record a database of proxy sizes for each proxy type.</t>
  </si>
  <si>
    <t>Project History:  The following is a record of actual/estimated performance on past projects.  Note:  times are in minutes.</t>
  </si>
  <si>
    <t>Est. Duration (De)</t>
  </si>
  <si>
    <t>Actual Duration (Da)</t>
  </si>
  <si>
    <t>If LOCe is significantly correlated with actual duration then</t>
  </si>
  <si>
    <t>else If LOCa is significantly correlated with actual duration then</t>
  </si>
  <si>
    <t>Calculate productivity as sum(LOCa of all projects)/sum(actual duration of all projects)</t>
  </si>
  <si>
    <t xml:space="preserve">   duration = N*B1+B0, where B1 and B0 are derived from LOCe and actual duration</t>
  </si>
  <si>
    <t xml:space="preserve">   duration = N*B1+B0, where B1 and B0 are derived from LOCa and actual duration</t>
  </si>
  <si>
    <t xml:space="preserve"> - this spreadsheet</t>
  </si>
  <si>
    <t>N=B1*E+B0</t>
  </si>
  <si>
    <t xml:space="preserve">   record duration method as "LOCe x Time"</t>
  </si>
  <si>
    <t xml:space="preserve">   record duration method as "LOCa x Time"</t>
  </si>
  <si>
    <t xml:space="preserve">   record duration method as "Productivity"</t>
  </si>
  <si>
    <t>Are all regions highlighted in yellow complete?  (Either with a value, or NA if the cell is not applicable. No units of measure.)</t>
  </si>
  <si>
    <t>ensure all proxy sizes are calculated using a consistent method</t>
  </si>
  <si>
    <t xml:space="preserve">   duration = N/productivity, range = NA</t>
  </si>
  <si>
    <r>
      <t xml:space="preserve">Estimates on New Development:  </t>
    </r>
    <r>
      <rPr>
        <sz val="14"/>
        <rFont val="Arial"/>
        <family val="2"/>
      </rPr>
      <t>Please provide answers to the questions below.  If a result is not calculable, please fill the box with a "NA" and defend your answer in the supporting calculations section.  Each cell should contain a number, "NA", or a val</t>
    </r>
  </si>
  <si>
    <t>Solution</t>
  </si>
  <si>
    <t>Supporting Calculations for "Object Category Sizes"</t>
  </si>
  <si>
    <t>Supporting Calculations for "Size Estimate"</t>
  </si>
  <si>
    <t>Supporting Calculations for "Duration Estimate"</t>
  </si>
  <si>
    <t>Supporting Calculations for "Time in Phase Estimations"</t>
  </si>
  <si>
    <t>Useful Excel Functions</t>
  </si>
  <si>
    <t>tdist</t>
  </si>
  <si>
    <t xml:space="preserve">example:  </t>
  </si>
  <si>
    <t xml:space="preserve">parms:   </t>
  </si>
  <si>
    <t>t, degrees of freedom, number of tails (1 or 2)</t>
  </si>
  <si>
    <t xml:space="preserve">area under tails </t>
  </si>
  <si>
    <t xml:space="preserve">returns: </t>
  </si>
  <si>
    <t>note:</t>
  </si>
  <si>
    <t>tdist returns 1-p(alpha) when tails=1 and</t>
  </si>
  <si>
    <t>correl</t>
  </si>
  <si>
    <t>parms:</t>
  </si>
  <si>
    <t>x's, y's</t>
  </si>
  <si>
    <t>returns:</t>
  </si>
  <si>
    <t>correlation coefficient</t>
  </si>
  <si>
    <t>X</t>
  </si>
  <si>
    <t>Y</t>
  </si>
  <si>
    <t>example:</t>
  </si>
  <si>
    <t>given the data at right,</t>
  </si>
  <si>
    <t>"=CORREL(F83:F88,G83:G88)"</t>
  </si>
  <si>
    <t>yields</t>
  </si>
  <si>
    <t>slope</t>
  </si>
  <si>
    <t>y's, x's</t>
  </si>
  <si>
    <t>regression value B1</t>
  </si>
  <si>
    <t>given the data above, "=SLOPE(G83:G88,F83:F88)" yields</t>
  </si>
  <si>
    <t>intercept</t>
  </si>
  <si>
    <t>regression value B0</t>
  </si>
  <si>
    <t>given the data above, "=INTERCEPT(G83:G88,F83:F88)" yields</t>
  </si>
  <si>
    <t>average</t>
  </si>
  <si>
    <t>values</t>
  </si>
  <si>
    <t>average of the values</t>
  </si>
  <si>
    <t>the average of the x's above is "=AVERAGE(F83:F88)", or</t>
  </si>
  <si>
    <t>stdev</t>
  </si>
  <si>
    <t>standard deviation of the values</t>
  </si>
  <si>
    <t>the std of the x's above is "=STDEV(F83:F88)", or</t>
  </si>
  <si>
    <t>sum</t>
  </si>
  <si>
    <t>sum of the values</t>
  </si>
  <si>
    <t>the sum of the x's above is "=SUM(F83:F88)", which yields</t>
  </si>
  <si>
    <t>^</t>
  </si>
  <si>
    <t>value, power</t>
  </si>
  <si>
    <t>value**power</t>
  </si>
  <si>
    <t>5 squared is 5^2</t>
  </si>
  <si>
    <t>tinv</t>
  </si>
  <si>
    <t>probability, degrees of freedom</t>
  </si>
  <si>
    <t xml:space="preserve">"=TDIST(1.325,20,2)" yields </t>
  </si>
  <si>
    <t>"=TINV(0.200111,20)" yields</t>
  </si>
  <si>
    <t>the value of t such that the area under the T-curve from [-t,t] is the probability</t>
  </si>
  <si>
    <t>Proxy01</t>
  </si>
  <si>
    <t>Proxy02</t>
  </si>
  <si>
    <t>Proxy03</t>
  </si>
  <si>
    <t>Proxy04</t>
  </si>
  <si>
    <t>Proxy05</t>
  </si>
  <si>
    <t>Proxy06</t>
  </si>
  <si>
    <t>Proxy07</t>
  </si>
  <si>
    <t>Proxy08</t>
  </si>
  <si>
    <t>Proxy09</t>
  </si>
  <si>
    <t>Similar to</t>
  </si>
  <si>
    <t>Proxy Sizing</t>
  </si>
  <si>
    <t>Proxy sizing</t>
  </si>
  <si>
    <t>Supporting Calculations for "Proxy Sizing"</t>
  </si>
  <si>
    <t>2.  Size the proxies</t>
  </si>
  <si>
    <t>Designate the size of each historical proxy as VS, S, M, L VL</t>
  </si>
  <si>
    <t xml:space="preserve">   designate the relative size of the proxy as the size of the proxy it is most similar to (see "similar to" column)</t>
  </si>
  <si>
    <t xml:space="preserve">   designate the type of the proxy as the type of the proxy it is most similar to (see "similar to" column)</t>
  </si>
  <si>
    <t>Size</t>
  </si>
  <si>
    <t>For each Base Addition and New Object do:</t>
  </si>
  <si>
    <t xml:space="preserve">   determine the proxy size by multiplying the number of methods by the size in the size matrix</t>
  </si>
  <si>
    <t xml:space="preserve">      LPI = "NA"</t>
  </si>
  <si>
    <t xml:space="preserve">   range = "NA", LPI="NA", UPI="NA"</t>
  </si>
  <si>
    <t>Has each Base Addition and New Object been given a type and relative size?</t>
  </si>
  <si>
    <t>Are supporting calculations understandable?</t>
  </si>
  <si>
    <t>3.  Estimate the size</t>
  </si>
  <si>
    <t xml:space="preserve">4.  Estimate and record the duration of the new project. </t>
  </si>
  <si>
    <t>5.  Distribute and record time among project phases</t>
  </si>
  <si>
    <t>LOCA x Time</t>
  </si>
  <si>
    <t>x</t>
  </si>
  <si>
    <t>y</t>
  </si>
  <si>
    <t>Range =</t>
  </si>
  <si>
    <t>Due date:</t>
  </si>
  <si>
    <t xml:space="preserve"> - When complete, upload the spreadsheet to OneDrive.</t>
  </si>
  <si>
    <t>11:55am</t>
  </si>
  <si>
    <t>Roll No:</t>
  </si>
  <si>
    <t>Due Date:</t>
  </si>
  <si>
    <t xml:space="preserve">   calculate B0 and B1 as you did in previous assignment</t>
  </si>
  <si>
    <t xml:space="preserve">1-p(alpha/2) when tails = 2.  </t>
  </si>
  <si>
    <t xml:space="preserve"> - Python code to read the historical data and calculate values necessary to complete the Xcel file.</t>
  </si>
  <si>
    <t>LOC/method</t>
  </si>
  <si>
    <t>Log Normal method</t>
  </si>
  <si>
    <t>CS 312 -- Software Engineering</t>
  </si>
  <si>
    <t>Shagufta Anjum</t>
  </si>
  <si>
    <t>19XJ1A0568</t>
  </si>
  <si>
    <t>mean</t>
  </si>
  <si>
    <t>SD</t>
  </si>
  <si>
    <t>Log normal method</t>
  </si>
  <si>
    <t>(cannot be negative, use log normal)</t>
  </si>
  <si>
    <t>Type:</t>
  </si>
  <si>
    <t>Get type of the proxy that it is similar to</t>
  </si>
  <si>
    <t>Size:</t>
  </si>
  <si>
    <t>Calculate Total_LOC/Methods to get average no. of lines per method in this proxy.</t>
  </si>
  <si>
    <t>Compare this to the object size buckets obtained in the previous steps and determine its size (VS, S, M, L, VL)</t>
  </si>
  <si>
    <t>The midpoint of its size bucket * No. of methods in the proxy will be the LOC of this proxy.</t>
  </si>
  <si>
    <t>LOC:</t>
  </si>
  <si>
    <t>STEPS:</t>
  </si>
  <si>
    <t>na</t>
  </si>
  <si>
    <t>Log normal method:</t>
  </si>
  <si>
    <t>Addition</t>
  </si>
  <si>
    <t>Proxy</t>
  </si>
  <si>
    <t>Proxy Methods</t>
  </si>
  <si>
    <t>Buckets:</t>
  </si>
  <si>
    <t>Low</t>
  </si>
  <si>
    <t>High</t>
  </si>
  <si>
    <t>inf</t>
  </si>
  <si>
    <t>CALCULATION</t>
  </si>
  <si>
    <t>DATA</t>
  </si>
  <si>
    <t>Midpoint</t>
  </si>
  <si>
    <t>Final midpoint</t>
  </si>
  <si>
    <t>Final LOC/method</t>
  </si>
  <si>
    <t>Note: Apply log to the LOC/method wherever log normal method is used.</t>
  </si>
  <si>
    <t>Note: Apply antilog to midpoint wherver log normal method is used.</t>
  </si>
  <si>
    <t>The best fitting line is y = 0.8519x + 49.6293</t>
  </si>
  <si>
    <t>Duration:</t>
  </si>
  <si>
    <t>The best fitting line is y = 1.06216x + -40.6715</t>
  </si>
  <si>
    <t>t_value:</t>
  </si>
  <si>
    <t>70% Range:</t>
  </si>
  <si>
    <t>UPI:</t>
  </si>
  <si>
    <t>N:</t>
  </si>
  <si>
    <t>LPI: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</si>
</sst>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12" x14ac:knownFonts="1">
    <font>
      <sz val="10"/>
      <name val="Arial"/>
    </font>
    <font>
      <b/>
      <sz val="16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vertAlign val="subscript"/>
      <sz val="10"/>
      <name val="Arial"/>
      <family val="2"/>
    </font>
    <font>
      <i/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80">
    <xf numFmtId="0" fontId="0" fillId="0" borderId="0" xfId="0"/>
    <xf numFmtId="0" fontId="3" fillId="0" borderId="0" xfId="0" applyFont="1" applyProtection="1"/>
    <xf numFmtId="0" fontId="0" fillId="0" borderId="0" xfId="0" applyBorder="1" applyProtection="1"/>
    <xf numFmtId="0" fontId="1" fillId="0" borderId="0" xfId="0" applyFont="1" applyAlignment="1" applyProtection="1">
      <alignment horizontal="left"/>
    </xf>
    <xf numFmtId="0" fontId="0" fillId="0" borderId="0" xfId="0" applyAlignment="1" applyProtection="1"/>
    <xf numFmtId="0" fontId="0" fillId="0" borderId="0" xfId="0" applyFill="1" applyBorder="1" applyAlignment="1" applyProtection="1"/>
    <xf numFmtId="15" fontId="0" fillId="0" borderId="0" xfId="0" applyNumberFormat="1"/>
    <xf numFmtId="0" fontId="0" fillId="0" borderId="0" xfId="0" applyAlignment="1" applyProtection="1">
      <protection locked="0"/>
    </xf>
    <xf numFmtId="15" fontId="0" fillId="0" borderId="0" xfId="0" applyNumberFormat="1" applyAlignment="1" applyProtection="1"/>
    <xf numFmtId="0" fontId="4" fillId="0" borderId="0" xfId="1" applyAlignment="1" applyProtection="1"/>
    <xf numFmtId="0" fontId="0" fillId="0" borderId="1" xfId="0" applyBorder="1" applyAlignment="1" applyProtection="1"/>
    <xf numFmtId="0" fontId="0" fillId="0" borderId="2" xfId="0" applyBorder="1" applyProtection="1"/>
    <xf numFmtId="0" fontId="0" fillId="0" borderId="3" xfId="0" applyBorder="1" applyAlignment="1" applyProtection="1"/>
    <xf numFmtId="0" fontId="0" fillId="0" borderId="3" xfId="0" applyBorder="1" applyProtection="1"/>
    <xf numFmtId="0" fontId="0" fillId="0" borderId="3" xfId="0" applyBorder="1" applyAlignment="1" applyProtection="1">
      <alignment horizontal="right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0" fontId="0" fillId="0" borderId="0" xfId="0" applyBorder="1"/>
    <xf numFmtId="0" fontId="2" fillId="0" borderId="4" xfId="0" applyFont="1" applyBorder="1" applyAlignment="1">
      <alignment horizontal="right"/>
    </xf>
    <xf numFmtId="0" fontId="2" fillId="0" borderId="4" xfId="0" applyFont="1" applyBorder="1" applyAlignment="1">
      <alignment horizontal="right" vertical="top"/>
    </xf>
    <xf numFmtId="0" fontId="2" fillId="0" borderId="4" xfId="0" applyFont="1" applyBorder="1" applyAlignment="1">
      <alignment horizontal="right" vertical="top" wrapText="1"/>
    </xf>
    <xf numFmtId="0" fontId="2" fillId="0" borderId="0" xfId="0" applyFont="1" applyAlignment="1">
      <alignment horizontal="right"/>
    </xf>
    <xf numFmtId="0" fontId="0" fillId="0" borderId="4" xfId="0" applyBorder="1"/>
    <xf numFmtId="0" fontId="0" fillId="0" borderId="0" xfId="0" applyAlignment="1">
      <alignment horizontal="left" vertical="top"/>
    </xf>
    <xf numFmtId="1" fontId="0" fillId="0" borderId="0" xfId="0" applyNumberFormat="1" applyAlignment="1" applyProtection="1"/>
    <xf numFmtId="0" fontId="0" fillId="0" borderId="0" xfId="0" applyAlignment="1" applyProtection="1">
      <alignment horizontal="left" vertical="top" wrapText="1"/>
    </xf>
    <xf numFmtId="0" fontId="0" fillId="0" borderId="0" xfId="0" applyFill="1" applyBorder="1" applyAlignment="1" applyProtection="1">
      <alignment horizontal="left"/>
    </xf>
    <xf numFmtId="0" fontId="0" fillId="2" borderId="3" xfId="0" applyFill="1" applyBorder="1" applyProtection="1">
      <protection locked="0"/>
    </xf>
    <xf numFmtId="15" fontId="0" fillId="0" borderId="5" xfId="0" applyNumberFormat="1" applyBorder="1" applyAlignment="1">
      <alignment horizontal="right"/>
    </xf>
    <xf numFmtId="15" fontId="0" fillId="0" borderId="0" xfId="0" applyNumberFormat="1" applyAlignment="1" applyProtection="1">
      <alignment horizontal="right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Protection="1"/>
    <xf numFmtId="0" fontId="0" fillId="0" borderId="0" xfId="0" applyFill="1" applyBorder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0" xfId="0" applyAlignment="1">
      <alignment horizontal="left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/>
    <xf numFmtId="1" fontId="0" fillId="0" borderId="0" xfId="0" applyNumberFormat="1" applyAlignment="1"/>
    <xf numFmtId="9" fontId="0" fillId="0" borderId="0" xfId="0" applyNumberFormat="1" applyAlignment="1"/>
    <xf numFmtId="22" fontId="0" fillId="0" borderId="0" xfId="0" applyNumberFormat="1" applyAlignment="1"/>
    <xf numFmtId="0" fontId="10" fillId="0" borderId="0" xfId="0" applyFont="1" applyAlignment="1"/>
    <xf numFmtId="0" fontId="10" fillId="0" borderId="0" xfId="0" applyFont="1" applyBorder="1" applyAlignment="1"/>
    <xf numFmtId="0" fontId="2" fillId="0" borderId="7" xfId="0" applyFont="1" applyBorder="1" applyAlignment="1" applyProtection="1">
      <alignment horizontal="center" wrapText="1"/>
    </xf>
    <xf numFmtId="0" fontId="0" fillId="0" borderId="2" xfId="0" applyBorder="1" applyAlignment="1" applyProtection="1"/>
    <xf numFmtId="0" fontId="0" fillId="0" borderId="3" xfId="0" applyBorder="1" applyAlignment="1" applyProtection="1">
      <alignment horizontal="left" vertical="top" wrapText="1"/>
    </xf>
    <xf numFmtId="0" fontId="0" fillId="0" borderId="2" xfId="0" applyBorder="1" applyAlignment="1" applyProtection="1">
      <alignment horizontal="left" vertical="top"/>
    </xf>
    <xf numFmtId="0" fontId="0" fillId="0" borderId="3" xfId="0" applyBorder="1" applyAlignment="1" applyProtection="1">
      <alignment horizontal="left" vertical="top"/>
    </xf>
    <xf numFmtId="0" fontId="0" fillId="0" borderId="8" xfId="0" applyBorder="1" applyAlignment="1" applyProtection="1">
      <alignment horizontal="left" vertical="top" wrapText="1"/>
    </xf>
    <xf numFmtId="0" fontId="0" fillId="0" borderId="8" xfId="0" applyBorder="1" applyProtection="1"/>
    <xf numFmtId="0" fontId="0" fillId="0" borderId="8" xfId="0" applyBorder="1" applyAlignment="1" applyProtection="1"/>
    <xf numFmtId="0" fontId="0" fillId="0" borderId="9" xfId="0" applyBorder="1" applyAlignment="1" applyProtection="1"/>
    <xf numFmtId="0" fontId="0" fillId="0" borderId="10" xfId="0" applyBorder="1" applyAlignment="1" applyProtection="1"/>
    <xf numFmtId="0" fontId="2" fillId="0" borderId="10" xfId="0" applyFont="1" applyBorder="1" applyAlignment="1" applyProtection="1">
      <alignment horizontal="left" vertical="top"/>
    </xf>
    <xf numFmtId="0" fontId="0" fillId="0" borderId="3" xfId="0" applyFill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0" fontId="2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left" vertical="center" wrapText="1"/>
    </xf>
    <xf numFmtId="1" fontId="10" fillId="0" borderId="0" xfId="0" applyNumberFormat="1" applyFont="1" applyAlignment="1" applyProtection="1">
      <protection locked="0"/>
    </xf>
    <xf numFmtId="1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2" fontId="0" fillId="0" borderId="0" xfId="0" applyNumberFormat="1" applyAlignment="1" applyProtection="1">
      <protection locked="0"/>
    </xf>
    <xf numFmtId="1" fontId="10" fillId="0" borderId="0" xfId="0" applyNumberFormat="1" applyFont="1" applyAlignment="1" applyProtection="1"/>
    <xf numFmtId="1" fontId="2" fillId="0" borderId="6" xfId="0" applyNumberFormat="1" applyFont="1" applyBorder="1" applyAlignment="1" applyProtection="1">
      <alignment horizontal="center"/>
    </xf>
    <xf numFmtId="1" fontId="2" fillId="0" borderId="6" xfId="0" applyNumberFormat="1" applyFont="1" applyBorder="1" applyAlignment="1" applyProtection="1"/>
    <xf numFmtId="1" fontId="0" fillId="0" borderId="0" xfId="0" applyNumberFormat="1" applyBorder="1" applyAlignment="1" applyProtection="1"/>
    <xf numFmtId="1" fontId="0" fillId="0" borderId="0" xfId="0" applyNumberFormat="1" applyBorder="1" applyAlignment="1" applyProtection="1">
      <alignment horizontal="right"/>
    </xf>
    <xf numFmtId="1" fontId="2" fillId="0" borderId="6" xfId="0" applyNumberFormat="1" applyFont="1" applyBorder="1" applyAlignment="1" applyProtection="1">
      <alignment horizontal="center" wrapText="1"/>
    </xf>
    <xf numFmtId="1" fontId="0" fillId="0" borderId="0" xfId="0" applyNumberFormat="1" applyAlignment="1" applyProtection="1">
      <alignment wrapText="1"/>
    </xf>
    <xf numFmtId="2" fontId="0" fillId="2" borderId="3" xfId="0" applyNumberFormat="1" applyFill="1" applyBorder="1" applyProtection="1">
      <protection locked="0"/>
    </xf>
    <xf numFmtId="2" fontId="0" fillId="2" borderId="3" xfId="0" applyNumberFormat="1" applyFill="1" applyBorder="1" applyAlignment="1" applyProtection="1">
      <protection locked="0"/>
    </xf>
    <xf numFmtId="0" fontId="9" fillId="0" borderId="0" xfId="0" applyFont="1" applyAlignment="1" applyProtection="1">
      <protection locked="0"/>
    </xf>
    <xf numFmtId="1" fontId="8" fillId="0" borderId="0" xfId="0" applyNumberFormat="1" applyFont="1" applyAlignment="1" applyProtection="1">
      <alignment wrapText="1"/>
    </xf>
    <xf numFmtId="0" fontId="2" fillId="0" borderId="0" xfId="0" applyFont="1" applyAlignment="1"/>
    <xf numFmtId="1" fontId="0" fillId="2" borderId="3" xfId="0" applyNumberFormat="1" applyFill="1" applyBorder="1" applyProtection="1">
      <protection locked="0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/>
    </xf>
    <xf numFmtId="164" fontId="0" fillId="0" borderId="0" xfId="0" applyNumberFormat="1" applyFill="1" applyBorder="1" applyAlignment="1"/>
    <xf numFmtId="2" fontId="0" fillId="0" borderId="0" xfId="0" applyNumberFormat="1" applyAlignment="1"/>
    <xf numFmtId="0" fontId="3" fillId="0" borderId="8" xfId="0" applyFont="1" applyBorder="1" applyAlignment="1">
      <alignment horizontal="left" wrapText="1"/>
    </xf>
    <xf numFmtId="0" fontId="3" fillId="0" borderId="9" xfId="0" applyFont="1" applyBorder="1" applyAlignment="1">
      <alignment horizontal="left" wrapText="1"/>
    </xf>
    <xf numFmtId="0" fontId="3" fillId="0" borderId="0" xfId="0" applyFont="1"/>
    <xf numFmtId="0" fontId="3" fillId="0" borderId="10" xfId="0" applyFont="1" applyBorder="1" applyAlignment="1">
      <alignment horizontal="left" wrapText="1"/>
    </xf>
    <xf numFmtId="0" fontId="6" fillId="0" borderId="0" xfId="0" applyFont="1" applyBorder="1" applyAlignment="1">
      <alignment horizontal="left"/>
    </xf>
    <xf numFmtId="0" fontId="3" fillId="0" borderId="0" xfId="0" applyFont="1" applyBorder="1"/>
    <xf numFmtId="0" fontId="3" fillId="0" borderId="0" xfId="0" applyFont="1" applyBorder="1" applyAlignment="1"/>
    <xf numFmtId="0" fontId="3" fillId="0" borderId="0" xfId="0" applyFont="1" applyBorder="1" applyAlignment="1">
      <alignment horizontal="left"/>
    </xf>
    <xf numFmtId="0" fontId="6" fillId="0" borderId="0" xfId="0" applyFont="1" applyBorder="1"/>
    <xf numFmtId="1" fontId="2" fillId="0" borderId="6" xfId="0" applyNumberFormat="1" applyFont="1" applyBorder="1" applyAlignment="1" applyProtection="1">
      <alignment wrapText="1"/>
    </xf>
    <xf numFmtId="1" fontId="2" fillId="0" borderId="0" xfId="0" applyNumberFormat="1" applyFont="1" applyFill="1" applyBorder="1" applyAlignment="1" applyProtection="1">
      <protection locked="0"/>
    </xf>
    <xf numFmtId="0" fontId="2" fillId="0" borderId="0" xfId="0" applyFont="1"/>
    <xf numFmtId="0" fontId="0" fillId="0" borderId="3" xfId="0" applyBorder="1" applyAlignment="1">
      <alignment horizontal="right"/>
    </xf>
    <xf numFmtId="9" fontId="0" fillId="0" borderId="0" xfId="0" applyNumberFormat="1"/>
    <xf numFmtId="0" fontId="2" fillId="0" borderId="0" xfId="0" applyFont="1" applyAlignment="1" applyProtection="1">
      <alignment horizontal="left"/>
    </xf>
    <xf numFmtId="1" fontId="2" fillId="0" borderId="12" xfId="0" applyNumberFormat="1" applyFont="1" applyFill="1" applyBorder="1" applyAlignment="1" applyProtection="1"/>
    <xf numFmtId="1" fontId="0" fillId="0" borderId="4" xfId="0" applyNumberFormat="1" applyFill="1" applyBorder="1" applyAlignment="1" applyProtection="1"/>
    <xf numFmtId="1" fontId="0" fillId="0" borderId="4" xfId="0" applyNumberFormat="1" applyBorder="1" applyAlignment="1" applyProtection="1"/>
    <xf numFmtId="1" fontId="2" fillId="0" borderId="12" xfId="0" applyNumberFormat="1" applyFont="1" applyBorder="1" applyAlignment="1" applyProtection="1">
      <alignment horizontal="center" wrapText="1"/>
    </xf>
    <xf numFmtId="1" fontId="0" fillId="0" borderId="0" xfId="0" applyNumberFormat="1" applyBorder="1" applyAlignment="1" applyProtection="1">
      <protection locked="0"/>
    </xf>
    <xf numFmtId="0" fontId="2" fillId="0" borderId="0" xfId="0" applyFont="1" applyAlignment="1">
      <alignment horizontal="center"/>
    </xf>
    <xf numFmtId="0" fontId="2" fillId="0" borderId="0" xfId="0" applyFont="1" applyBorder="1" applyAlignment="1" applyProtection="1">
      <alignment horizontal="left" vertical="center"/>
    </xf>
    <xf numFmtId="0" fontId="3" fillId="0" borderId="0" xfId="0" applyFont="1" applyAlignment="1" applyProtection="1"/>
    <xf numFmtId="0" fontId="3" fillId="0" borderId="0" xfId="0" applyFont="1" applyBorder="1" applyAlignment="1" applyProtection="1">
      <alignment horizontal="left" vertical="center"/>
    </xf>
    <xf numFmtId="0" fontId="0" fillId="0" borderId="0" xfId="0" applyFill="1" applyAlignment="1" applyProtection="1"/>
    <xf numFmtId="0" fontId="2" fillId="3" borderId="13" xfId="0" applyFont="1" applyFill="1" applyBorder="1" applyAlignment="1" applyProtection="1">
      <alignment horizontal="left"/>
    </xf>
    <xf numFmtId="0" fontId="3" fillId="0" borderId="0" xfId="0" applyFont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/>
    </xf>
    <xf numFmtId="0" fontId="3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protection locked="0"/>
    </xf>
    <xf numFmtId="0" fontId="2" fillId="3" borderId="0" xfId="0" applyFont="1" applyFill="1" applyAlignment="1" applyProtection="1">
      <alignment horizontal="left"/>
    </xf>
    <xf numFmtId="1" fontId="0" fillId="2" borderId="3" xfId="0" applyNumberFormat="1" applyFill="1" applyBorder="1" applyAlignment="1" applyProtection="1">
      <protection locked="0"/>
    </xf>
    <xf numFmtId="0" fontId="0" fillId="3" borderId="0" xfId="0" applyFill="1" applyAlignment="1" applyProtection="1"/>
    <xf numFmtId="0" fontId="0" fillId="0" borderId="0" xfId="0" applyBorder="1" applyAlignment="1" applyProtection="1"/>
    <xf numFmtId="0" fontId="2" fillId="0" borderId="0" xfId="0" applyFont="1" applyFill="1" applyAlignment="1" applyProtection="1">
      <alignment horizontal="left"/>
    </xf>
    <xf numFmtId="0" fontId="0" fillId="0" borderId="10" xfId="0" applyBorder="1" applyAlignment="1" applyProtection="1">
      <alignment horizontal="left" vertical="top" wrapText="1"/>
    </xf>
    <xf numFmtId="0" fontId="2" fillId="0" borderId="10" xfId="0" applyFont="1" applyBorder="1" applyAlignment="1" applyProtection="1">
      <alignment horizontal="left" vertical="top" wrapText="1"/>
    </xf>
    <xf numFmtId="0" fontId="0" fillId="0" borderId="0" xfId="0" applyAlignment="1" applyProtection="1">
      <alignment horizontal="left"/>
      <protection locked="0"/>
    </xf>
    <xf numFmtId="2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Alignment="1" applyProtection="1">
      <protection locked="0"/>
    </xf>
    <xf numFmtId="0" fontId="2" fillId="0" borderId="0" xfId="0" applyFont="1" applyAlignment="1" applyProtection="1">
      <protection locked="0"/>
    </xf>
    <xf numFmtId="1" fontId="0" fillId="0" borderId="14" xfId="0" applyNumberFormat="1" applyBorder="1" applyAlignment="1" applyProtection="1">
      <alignment horizontal="right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 applyProtection="1">
      <protection locked="0"/>
    </xf>
    <xf numFmtId="1" fontId="8" fillId="0" borderId="0" xfId="0" applyNumberFormat="1" applyFont="1" applyAlignment="1" applyProtection="1">
      <alignment horizontal="left" wrapText="1"/>
    </xf>
    <xf numFmtId="1" fontId="8" fillId="0" borderId="0" xfId="0" applyNumberFormat="1" applyFont="1" applyAlignment="1" applyProtection="1">
      <alignment wrapText="1"/>
    </xf>
    <xf numFmtId="0" fontId="0" fillId="0" borderId="0" xfId="0" applyAlignment="1" applyProtection="1">
      <alignment horizontal="left" vertical="top" wrapText="1"/>
    </xf>
    <xf numFmtId="0" fontId="0" fillId="2" borderId="10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0" fillId="0" borderId="3" xfId="0" applyBorder="1" applyAlignment="1" applyProtection="1"/>
    <xf numFmtId="0" fontId="0" fillId="0" borderId="8" xfId="0" applyBorder="1" applyAlignment="1" applyProtection="1">
      <alignment horizontal="left"/>
    </xf>
    <xf numFmtId="0" fontId="0" fillId="0" borderId="9" xfId="0" applyBorder="1" applyAlignment="1" applyProtection="1">
      <alignment horizontal="left"/>
    </xf>
    <xf numFmtId="0" fontId="0" fillId="0" borderId="8" xfId="0" applyBorder="1" applyAlignment="1" applyProtection="1"/>
    <xf numFmtId="0" fontId="0" fillId="0" borderId="9" xfId="0" applyBorder="1" applyAlignment="1" applyProtection="1"/>
    <xf numFmtId="0" fontId="0" fillId="2" borderId="3" xfId="0" applyFill="1" applyBorder="1" applyAlignment="1" applyProtection="1">
      <alignment horizontal="left"/>
      <protection locked="0"/>
    </xf>
    <xf numFmtId="0" fontId="0" fillId="2" borderId="10" xfId="0" applyFill="1" applyBorder="1" applyAlignment="1" applyProtection="1">
      <alignment horizontal="left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9" xfId="0" applyFill="1" applyBorder="1" applyAlignment="1" applyProtection="1">
      <alignment horizontal="left"/>
      <protection locked="0"/>
    </xf>
    <xf numFmtId="0" fontId="2" fillId="0" borderId="15" xfId="0" applyFont="1" applyFill="1" applyBorder="1" applyAlignment="1" applyProtection="1">
      <alignment horizontal="center" wrapText="1"/>
    </xf>
    <xf numFmtId="0" fontId="2" fillId="0" borderId="14" xfId="0" applyFont="1" applyFill="1" applyBorder="1" applyAlignment="1" applyProtection="1">
      <alignment horizontal="center" wrapText="1"/>
    </xf>
    <xf numFmtId="0" fontId="2" fillId="0" borderId="16" xfId="0" applyFont="1" applyFill="1" applyBorder="1" applyAlignment="1" applyProtection="1">
      <alignment horizontal="center" wrapText="1"/>
    </xf>
    <xf numFmtId="0" fontId="8" fillId="0" borderId="1" xfId="0" applyFont="1" applyBorder="1" applyAlignment="1" applyProtection="1">
      <alignment horizontal="left" vertical="center" wrapText="1"/>
    </xf>
    <xf numFmtId="0" fontId="0" fillId="0" borderId="17" xfId="0" applyBorder="1" applyAlignment="1" applyProtection="1"/>
    <xf numFmtId="0" fontId="0" fillId="0" borderId="6" xfId="0" applyBorder="1" applyAlignment="1" applyProtection="1"/>
    <xf numFmtId="0" fontId="0" fillId="0" borderId="12" xfId="0" applyBorder="1" applyAlignment="1" applyProtection="1"/>
    <xf numFmtId="0" fontId="2" fillId="0" borderId="0" xfId="0" applyFont="1" applyAlignment="1" applyProtection="1">
      <alignment horizontal="left"/>
    </xf>
    <xf numFmtId="0" fontId="2" fillId="0" borderId="13" xfId="0" applyFont="1" applyBorder="1" applyAlignment="1" applyProtection="1">
      <alignment horizontal="left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top" wrapText="1"/>
    </xf>
    <xf numFmtId="0" fontId="3" fillId="0" borderId="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wrapText="1"/>
    </xf>
    <xf numFmtId="0" fontId="3" fillId="0" borderId="9" xfId="0" applyFont="1" applyBorder="1" applyAlignment="1">
      <alignment horizontal="left" wrapText="1"/>
    </xf>
    <xf numFmtId="0" fontId="3" fillId="0" borderId="10" xfId="0" applyFont="1" applyBorder="1" applyAlignment="1">
      <alignment horizontal="left" wrapText="1"/>
    </xf>
    <xf numFmtId="0" fontId="3" fillId="0" borderId="10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3" xfId="0" applyFont="1" applyBorder="1" applyAlignment="1">
      <alignment horizontal="left" vertical="center"/>
    </xf>
    <xf numFmtId="0" fontId="2" fillId="0" borderId="0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" fontId="2" fillId="0" borderId="0" xfId="0" applyNumberFormat="1" applyFont="1" applyBorder="1" applyAlignment="1" applyProtection="1">
      <alignment horizontal="left" wrapText="1"/>
    </xf>
    <xf numFmtId="0" fontId="8" fillId="4" borderId="1" xfId="0" applyFont="1" applyFill="1" applyBorder="1" applyAlignment="1" applyProtection="1">
      <alignment horizontal="left" vertical="center" wrapText="1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104"/>
  <sheetViews>
    <sheetView zoomScaleNormal="100" workbookViewId="0">
      <selection sqref="A1:F1"/>
    </sheetView>
  </sheetViews>
  <sheetFormatPr defaultColWidth="9.1796875" defaultRowHeight="12.5" x14ac:dyDescent="0.25"/>
  <cols>
    <col min="1" max="1" width="9.1796875" style="40"/>
    <col min="2" max="2" width="13.453125" style="40" bestFit="1" customWidth="1"/>
    <col min="3" max="3" width="15.26953125" style="40" customWidth="1"/>
    <col min="4" max="4" width="16.453125" style="40" customWidth="1"/>
    <col min="5" max="5" width="16" style="40" customWidth="1"/>
    <col min="6" max="6" width="17.54296875" style="40" customWidth="1"/>
    <col min="7" max="9" width="12.453125" style="40" bestFit="1" customWidth="1"/>
    <col min="10" max="16384" width="9.1796875" style="40"/>
  </cols>
  <sheetData>
    <row r="1" spans="1:10" ht="41.25" customHeight="1" x14ac:dyDescent="0.4">
      <c r="A1" s="130" t="s">
        <v>189</v>
      </c>
      <c r="B1" s="130"/>
      <c r="C1" s="130"/>
      <c r="D1" s="130"/>
      <c r="E1" s="130"/>
      <c r="F1" s="130"/>
      <c r="G1" s="46"/>
      <c r="H1" s="45"/>
    </row>
    <row r="2" spans="1:10" ht="13" x14ac:dyDescent="0.3">
      <c r="B2" s="37" t="s">
        <v>71</v>
      </c>
      <c r="C2" s="37" t="s">
        <v>72</v>
      </c>
      <c r="D2" s="37" t="s">
        <v>49</v>
      </c>
      <c r="E2" s="37" t="s">
        <v>29</v>
      </c>
      <c r="G2" s="80" t="s">
        <v>204</v>
      </c>
      <c r="H2" s="80" t="s">
        <v>205</v>
      </c>
      <c r="I2" s="80" t="s">
        <v>206</v>
      </c>
      <c r="J2" s="80" t="s">
        <v>207</v>
      </c>
    </row>
    <row r="3" spans="1:10" x14ac:dyDescent="0.25">
      <c r="B3" s="40" t="s">
        <v>73</v>
      </c>
      <c r="C3" s="42">
        <f t="shared" ref="C3:C35" ca="1" si="0">TRUNC(ABS(NORMINV(RAND(),100,27)))</f>
        <v>119</v>
      </c>
      <c r="D3" s="42">
        <f t="shared" ref="D3:D35" ca="1" si="1">MAX(1,TRUNC(ABS(NORMINV(RAND(),5,2))))</f>
        <v>6</v>
      </c>
      <c r="E3" s="38" t="s">
        <v>53</v>
      </c>
      <c r="G3" s="81">
        <f ca="1">C3/D3</f>
        <v>19.833333333333332</v>
      </c>
      <c r="H3" s="82">
        <f ca="1">AVERAGE(G3:G12)</f>
        <v>31.764285714285712</v>
      </c>
      <c r="I3" s="82">
        <f ca="1">STDEV(G3:G12)</f>
        <v>21.739603412044474</v>
      </c>
      <c r="J3" s="40" t="str">
        <f ca="1">IF(H3&lt;2*I3,"LOG","NORM")</f>
        <v>LOG</v>
      </c>
    </row>
    <row r="4" spans="1:10" x14ac:dyDescent="0.25">
      <c r="B4" s="40" t="s">
        <v>74</v>
      </c>
      <c r="C4" s="42">
        <f t="shared" ca="1" si="0"/>
        <v>104</v>
      </c>
      <c r="D4" s="42">
        <f t="shared" ca="1" si="1"/>
        <v>4</v>
      </c>
      <c r="E4" s="38" t="s">
        <v>53</v>
      </c>
      <c r="G4" s="81">
        <f t="shared" ref="G4:G35" ca="1" si="2">C4/D4</f>
        <v>26</v>
      </c>
      <c r="H4" s="82"/>
      <c r="I4" s="82"/>
    </row>
    <row r="5" spans="1:10" x14ac:dyDescent="0.25">
      <c r="B5" s="40" t="s">
        <v>75</v>
      </c>
      <c r="C5" s="42">
        <f t="shared" ca="1" si="0"/>
        <v>111</v>
      </c>
      <c r="D5" s="42">
        <f t="shared" ca="1" si="1"/>
        <v>5</v>
      </c>
      <c r="E5" s="38" t="s">
        <v>53</v>
      </c>
      <c r="G5" s="81">
        <f t="shared" ca="1" si="2"/>
        <v>22.2</v>
      </c>
      <c r="H5" s="82"/>
      <c r="I5" s="82"/>
    </row>
    <row r="6" spans="1:10" x14ac:dyDescent="0.25">
      <c r="B6" s="40" t="s">
        <v>76</v>
      </c>
      <c r="C6" s="42">
        <f t="shared" ca="1" si="0"/>
        <v>99</v>
      </c>
      <c r="D6" s="42">
        <f t="shared" ca="1" si="1"/>
        <v>3</v>
      </c>
      <c r="E6" s="38" t="s">
        <v>53</v>
      </c>
      <c r="G6" s="81">
        <f t="shared" ca="1" si="2"/>
        <v>33</v>
      </c>
      <c r="H6" s="82"/>
      <c r="I6" s="82"/>
    </row>
    <row r="7" spans="1:10" x14ac:dyDescent="0.25">
      <c r="B7" s="40" t="s">
        <v>77</v>
      </c>
      <c r="C7" s="42">
        <f t="shared" ca="1" si="0"/>
        <v>106</v>
      </c>
      <c r="D7" s="42">
        <f t="shared" ca="1" si="1"/>
        <v>7</v>
      </c>
      <c r="E7" s="38" t="s">
        <v>53</v>
      </c>
      <c r="G7" s="81">
        <f t="shared" ca="1" si="2"/>
        <v>15.142857142857142</v>
      </c>
      <c r="H7" s="82"/>
      <c r="I7" s="82"/>
    </row>
    <row r="8" spans="1:10" x14ac:dyDescent="0.25">
      <c r="B8" s="40" t="s">
        <v>78</v>
      </c>
      <c r="C8" s="42">
        <f t="shared" ca="1" si="0"/>
        <v>92</v>
      </c>
      <c r="D8" s="42">
        <f t="shared" ca="1" si="1"/>
        <v>4</v>
      </c>
      <c r="E8" s="38" t="s">
        <v>53</v>
      </c>
      <c r="G8" s="81">
        <f t="shared" ca="1" si="2"/>
        <v>23</v>
      </c>
      <c r="H8" s="82"/>
      <c r="I8" s="82"/>
    </row>
    <row r="9" spans="1:10" x14ac:dyDescent="0.25">
      <c r="B9" s="40" t="s">
        <v>79</v>
      </c>
      <c r="C9" s="42">
        <f t="shared" ca="1" si="0"/>
        <v>94</v>
      </c>
      <c r="D9" s="42">
        <f t="shared" ca="1" si="1"/>
        <v>6</v>
      </c>
      <c r="E9" s="38" t="s">
        <v>53</v>
      </c>
      <c r="G9" s="81">
        <f t="shared" ca="1" si="2"/>
        <v>15.666666666666666</v>
      </c>
      <c r="H9" s="82"/>
      <c r="I9" s="82"/>
    </row>
    <row r="10" spans="1:10" x14ac:dyDescent="0.25">
      <c r="B10" s="40" t="s">
        <v>80</v>
      </c>
      <c r="C10" s="42">
        <f t="shared" ca="1" si="0"/>
        <v>87</v>
      </c>
      <c r="D10" s="42">
        <f t="shared" ca="1" si="1"/>
        <v>1</v>
      </c>
      <c r="E10" s="38" t="s">
        <v>53</v>
      </c>
      <c r="G10" s="81">
        <f t="shared" ca="1" si="2"/>
        <v>87</v>
      </c>
      <c r="H10" s="82"/>
      <c r="I10" s="82"/>
    </row>
    <row r="11" spans="1:10" x14ac:dyDescent="0.25">
      <c r="B11" s="40" t="s">
        <v>81</v>
      </c>
      <c r="C11" s="42">
        <f t="shared" ca="1" si="0"/>
        <v>134</v>
      </c>
      <c r="D11" s="42">
        <f t="shared" ca="1" si="1"/>
        <v>5</v>
      </c>
      <c r="E11" s="38" t="s">
        <v>53</v>
      </c>
      <c r="G11" s="81">
        <f t="shared" ca="1" si="2"/>
        <v>26.8</v>
      </c>
      <c r="H11" s="82"/>
      <c r="I11" s="82"/>
    </row>
    <row r="12" spans="1:10" x14ac:dyDescent="0.25">
      <c r="B12" s="40" t="s">
        <v>82</v>
      </c>
      <c r="C12" s="42">
        <f t="shared" ca="1" si="0"/>
        <v>98</v>
      </c>
      <c r="D12" s="42">
        <f t="shared" ca="1" si="1"/>
        <v>2</v>
      </c>
      <c r="E12" s="38" t="s">
        <v>53</v>
      </c>
      <c r="G12" s="81">
        <f t="shared" ca="1" si="2"/>
        <v>49</v>
      </c>
      <c r="H12" s="82"/>
      <c r="I12" s="82"/>
    </row>
    <row r="13" spans="1:10" x14ac:dyDescent="0.25">
      <c r="B13" s="40" t="s">
        <v>83</v>
      </c>
      <c r="C13" s="42">
        <f t="shared" ca="1" si="0"/>
        <v>141</v>
      </c>
      <c r="D13" s="42">
        <f t="shared" ca="1" si="1"/>
        <v>4</v>
      </c>
      <c r="E13" s="38" t="s">
        <v>30</v>
      </c>
      <c r="G13" s="81">
        <f t="shared" ca="1" si="2"/>
        <v>35.25</v>
      </c>
      <c r="H13" s="82">
        <f ca="1">AVERAGE(G13:G25)</f>
        <v>39.028113553113556</v>
      </c>
      <c r="I13" s="82">
        <f ca="1">STDEV(G13:G25)</f>
        <v>35.359526927594594</v>
      </c>
      <c r="J13" s="40" t="str">
        <f ca="1">IF(H13&lt;2*I13,"LOG","NORM")</f>
        <v>LOG</v>
      </c>
    </row>
    <row r="14" spans="1:10" x14ac:dyDescent="0.25">
      <c r="B14" s="40" t="s">
        <v>84</v>
      </c>
      <c r="C14" s="42">
        <f t="shared" ca="1" si="0"/>
        <v>161</v>
      </c>
      <c r="D14" s="42">
        <f t="shared" ca="1" si="1"/>
        <v>2</v>
      </c>
      <c r="E14" s="38" t="s">
        <v>30</v>
      </c>
      <c r="G14" s="81">
        <f t="shared" ca="1" si="2"/>
        <v>80.5</v>
      </c>
      <c r="H14" s="82"/>
      <c r="I14" s="82"/>
    </row>
    <row r="15" spans="1:10" x14ac:dyDescent="0.25">
      <c r="B15" s="40" t="s">
        <v>85</v>
      </c>
      <c r="C15" s="42">
        <f t="shared" ca="1" si="0"/>
        <v>116</v>
      </c>
      <c r="D15" s="42">
        <f t="shared" ca="1" si="1"/>
        <v>5</v>
      </c>
      <c r="E15" s="38" t="s">
        <v>30</v>
      </c>
      <c r="G15" s="81">
        <f t="shared" ca="1" si="2"/>
        <v>23.2</v>
      </c>
      <c r="H15" s="82"/>
      <c r="I15" s="82"/>
    </row>
    <row r="16" spans="1:10" x14ac:dyDescent="0.25">
      <c r="B16" s="40" t="s">
        <v>86</v>
      </c>
      <c r="C16" s="42">
        <f t="shared" ca="1" si="0"/>
        <v>55</v>
      </c>
      <c r="D16" s="42">
        <f t="shared" ca="1" si="1"/>
        <v>7</v>
      </c>
      <c r="E16" s="38" t="s">
        <v>30</v>
      </c>
      <c r="G16" s="81">
        <f t="shared" ca="1" si="2"/>
        <v>7.8571428571428568</v>
      </c>
      <c r="H16" s="82"/>
      <c r="I16" s="82"/>
    </row>
    <row r="17" spans="2:10" x14ac:dyDescent="0.25">
      <c r="B17" s="40" t="s">
        <v>87</v>
      </c>
      <c r="C17" s="42">
        <f t="shared" ca="1" si="0"/>
        <v>67</v>
      </c>
      <c r="D17" s="42">
        <f t="shared" ca="1" si="1"/>
        <v>6</v>
      </c>
      <c r="E17" s="38" t="s">
        <v>30</v>
      </c>
      <c r="G17" s="81">
        <f t="shared" ca="1" si="2"/>
        <v>11.166666666666666</v>
      </c>
      <c r="H17" s="82"/>
      <c r="I17" s="82"/>
    </row>
    <row r="18" spans="2:10" x14ac:dyDescent="0.25">
      <c r="B18" s="40" t="s">
        <v>88</v>
      </c>
      <c r="C18" s="42">
        <f t="shared" ca="1" si="0"/>
        <v>83</v>
      </c>
      <c r="D18" s="42">
        <f t="shared" ca="1" si="1"/>
        <v>6</v>
      </c>
      <c r="E18" s="38" t="s">
        <v>30</v>
      </c>
      <c r="G18" s="81">
        <f t="shared" ca="1" si="2"/>
        <v>13.833333333333334</v>
      </c>
      <c r="H18" s="82"/>
      <c r="I18" s="82"/>
    </row>
    <row r="19" spans="2:10" x14ac:dyDescent="0.25">
      <c r="B19" s="40" t="s">
        <v>89</v>
      </c>
      <c r="C19" s="42">
        <f t="shared" ca="1" si="0"/>
        <v>110</v>
      </c>
      <c r="D19" s="42">
        <f t="shared" ca="1" si="1"/>
        <v>2</v>
      </c>
      <c r="E19" s="38" t="s">
        <v>30</v>
      </c>
      <c r="G19" s="81">
        <f t="shared" ca="1" si="2"/>
        <v>55</v>
      </c>
      <c r="H19" s="82"/>
      <c r="I19" s="82"/>
    </row>
    <row r="20" spans="2:10" x14ac:dyDescent="0.25">
      <c r="B20" s="40" t="s">
        <v>90</v>
      </c>
      <c r="C20" s="42">
        <f t="shared" ca="1" si="0"/>
        <v>101</v>
      </c>
      <c r="D20" s="42">
        <f t="shared" ca="1" si="1"/>
        <v>8</v>
      </c>
      <c r="E20" s="38" t="s">
        <v>30</v>
      </c>
      <c r="G20" s="81">
        <f t="shared" ca="1" si="2"/>
        <v>12.625</v>
      </c>
      <c r="H20" s="82"/>
      <c r="I20" s="82"/>
    </row>
    <row r="21" spans="2:10" x14ac:dyDescent="0.25">
      <c r="B21" s="40" t="s">
        <v>91</v>
      </c>
      <c r="C21" s="42">
        <f t="shared" ca="1" si="0"/>
        <v>89</v>
      </c>
      <c r="D21" s="42">
        <f t="shared" ca="1" si="1"/>
        <v>6</v>
      </c>
      <c r="E21" s="38" t="s">
        <v>30</v>
      </c>
      <c r="G21" s="81">
        <f t="shared" ca="1" si="2"/>
        <v>14.833333333333334</v>
      </c>
      <c r="H21" s="82"/>
      <c r="I21" s="82"/>
    </row>
    <row r="22" spans="2:10" x14ac:dyDescent="0.25">
      <c r="B22" s="40" t="s">
        <v>92</v>
      </c>
      <c r="C22" s="42">
        <f t="shared" ca="1" si="0"/>
        <v>90</v>
      </c>
      <c r="D22" s="42">
        <f t="shared" ca="1" si="1"/>
        <v>1</v>
      </c>
      <c r="E22" s="38" t="s">
        <v>30</v>
      </c>
      <c r="G22" s="81">
        <f t="shared" ca="1" si="2"/>
        <v>90</v>
      </c>
      <c r="H22" s="82"/>
      <c r="I22" s="82"/>
    </row>
    <row r="23" spans="2:10" x14ac:dyDescent="0.25">
      <c r="B23" s="40" t="s">
        <v>93</v>
      </c>
      <c r="C23" s="42">
        <f t="shared" ca="1" si="0"/>
        <v>116</v>
      </c>
      <c r="D23" s="42">
        <f t="shared" ca="1" si="1"/>
        <v>1</v>
      </c>
      <c r="E23" s="38" t="s">
        <v>30</v>
      </c>
      <c r="G23" s="81">
        <f t="shared" ca="1" si="2"/>
        <v>116</v>
      </c>
      <c r="H23" s="82"/>
      <c r="I23" s="82"/>
    </row>
    <row r="24" spans="2:10" x14ac:dyDescent="0.25">
      <c r="B24" s="40" t="s">
        <v>94</v>
      </c>
      <c r="C24" s="42">
        <f t="shared" ca="1" si="0"/>
        <v>61</v>
      </c>
      <c r="D24" s="42">
        <f t="shared" ca="1" si="1"/>
        <v>2</v>
      </c>
      <c r="E24" s="38" t="s">
        <v>30</v>
      </c>
      <c r="G24" s="81">
        <f t="shared" ca="1" si="2"/>
        <v>30.5</v>
      </c>
      <c r="H24" s="82"/>
      <c r="I24" s="82"/>
    </row>
    <row r="25" spans="2:10" x14ac:dyDescent="0.25">
      <c r="B25" s="40" t="s">
        <v>95</v>
      </c>
      <c r="C25" s="42">
        <f t="shared" ca="1" si="0"/>
        <v>83</v>
      </c>
      <c r="D25" s="42">
        <f t="shared" ca="1" si="1"/>
        <v>5</v>
      </c>
      <c r="E25" s="38" t="s">
        <v>30</v>
      </c>
      <c r="G25" s="81">
        <f t="shared" ca="1" si="2"/>
        <v>16.600000000000001</v>
      </c>
      <c r="H25" s="82"/>
      <c r="I25" s="82"/>
    </row>
    <row r="26" spans="2:10" x14ac:dyDescent="0.25">
      <c r="B26" s="40" t="s">
        <v>96</v>
      </c>
      <c r="C26" s="42">
        <f t="shared" ca="1" si="0"/>
        <v>111</v>
      </c>
      <c r="D26" s="42">
        <f t="shared" ca="1" si="1"/>
        <v>4</v>
      </c>
      <c r="E26" s="38" t="s">
        <v>55</v>
      </c>
      <c r="G26" s="81">
        <f t="shared" ca="1" si="2"/>
        <v>27.75</v>
      </c>
      <c r="H26" s="82">
        <f ca="1">AVERAGE(G26:G35)</f>
        <v>30.253095238095234</v>
      </c>
      <c r="I26" s="82">
        <f ca="1">STDEV(G26:G35)</f>
        <v>23.897663606255382</v>
      </c>
      <c r="J26" s="40" t="str">
        <f ca="1">IF(H26&lt;2*I26,"LOG","NORM")</f>
        <v>LOG</v>
      </c>
    </row>
    <row r="27" spans="2:10" x14ac:dyDescent="0.25">
      <c r="B27" s="40" t="s">
        <v>97</v>
      </c>
      <c r="C27" s="42">
        <f t="shared" ca="1" si="0"/>
        <v>129</v>
      </c>
      <c r="D27" s="42">
        <f t="shared" ca="1" si="1"/>
        <v>4</v>
      </c>
      <c r="E27" s="38" t="s">
        <v>55</v>
      </c>
      <c r="G27" s="81">
        <f t="shared" ca="1" si="2"/>
        <v>32.25</v>
      </c>
      <c r="H27" s="82"/>
      <c r="I27" s="82"/>
    </row>
    <row r="28" spans="2:10" x14ac:dyDescent="0.25">
      <c r="B28" s="40" t="s">
        <v>209</v>
      </c>
      <c r="C28" s="42">
        <f t="shared" ca="1" si="0"/>
        <v>88</v>
      </c>
      <c r="D28" s="42">
        <f t="shared" ca="1" si="1"/>
        <v>1</v>
      </c>
      <c r="E28" s="38" t="s">
        <v>55</v>
      </c>
      <c r="G28" s="81">
        <f t="shared" ca="1" si="2"/>
        <v>88</v>
      </c>
      <c r="H28" s="82"/>
      <c r="I28" s="82"/>
    </row>
    <row r="29" spans="2:10" x14ac:dyDescent="0.25">
      <c r="B29" s="40" t="s">
        <v>210</v>
      </c>
      <c r="C29" s="42">
        <f t="shared" ca="1" si="0"/>
        <v>122</v>
      </c>
      <c r="D29" s="42">
        <f t="shared" ca="1" si="1"/>
        <v>7</v>
      </c>
      <c r="E29" s="38" t="s">
        <v>55</v>
      </c>
      <c r="G29" s="81">
        <f t="shared" ca="1" si="2"/>
        <v>17.428571428571427</v>
      </c>
      <c r="H29" s="82"/>
      <c r="I29" s="82"/>
    </row>
    <row r="30" spans="2:10" x14ac:dyDescent="0.25">
      <c r="B30" s="40" t="s">
        <v>211</v>
      </c>
      <c r="C30" s="42">
        <f t="shared" ca="1" si="0"/>
        <v>65</v>
      </c>
      <c r="D30" s="42">
        <f t="shared" ca="1" si="1"/>
        <v>7</v>
      </c>
      <c r="E30" s="38" t="s">
        <v>55</v>
      </c>
      <c r="G30" s="81">
        <f t="shared" ca="1" si="2"/>
        <v>9.2857142857142865</v>
      </c>
      <c r="H30" s="82"/>
      <c r="I30" s="82"/>
    </row>
    <row r="31" spans="2:10" x14ac:dyDescent="0.25">
      <c r="B31" s="40" t="s">
        <v>212</v>
      </c>
      <c r="C31" s="42">
        <f t="shared" ca="1" si="0"/>
        <v>87</v>
      </c>
      <c r="D31" s="42">
        <f t="shared" ca="1" si="1"/>
        <v>4</v>
      </c>
      <c r="E31" s="38" t="s">
        <v>55</v>
      </c>
      <c r="G31" s="81">
        <f t="shared" ca="1" si="2"/>
        <v>21.75</v>
      </c>
      <c r="H31" s="82"/>
      <c r="I31" s="82"/>
    </row>
    <row r="32" spans="2:10" x14ac:dyDescent="0.25">
      <c r="B32" s="40" t="s">
        <v>213</v>
      </c>
      <c r="C32" s="42">
        <f t="shared" ca="1" si="0"/>
        <v>102</v>
      </c>
      <c r="D32" s="42">
        <f t="shared" ca="1" si="1"/>
        <v>5</v>
      </c>
      <c r="E32" s="38" t="s">
        <v>55</v>
      </c>
      <c r="G32" s="81">
        <f t="shared" ca="1" si="2"/>
        <v>20.399999999999999</v>
      </c>
      <c r="H32" s="82"/>
      <c r="I32" s="82"/>
    </row>
    <row r="33" spans="1:9" x14ac:dyDescent="0.25">
      <c r="B33" s="40" t="s">
        <v>214</v>
      </c>
      <c r="C33" s="42">
        <f t="shared" ca="1" si="0"/>
        <v>109</v>
      </c>
      <c r="D33" s="42">
        <f t="shared" ca="1" si="1"/>
        <v>2</v>
      </c>
      <c r="E33" s="38" t="s">
        <v>55</v>
      </c>
      <c r="G33" s="81">
        <f t="shared" ca="1" si="2"/>
        <v>54.5</v>
      </c>
      <c r="H33" s="82"/>
      <c r="I33" s="82"/>
    </row>
    <row r="34" spans="1:9" x14ac:dyDescent="0.25">
      <c r="B34" s="40" t="s">
        <v>215</v>
      </c>
      <c r="C34" s="42">
        <f t="shared" ca="1" si="0"/>
        <v>101</v>
      </c>
      <c r="D34" s="42">
        <f t="shared" ca="1" si="1"/>
        <v>6</v>
      </c>
      <c r="E34" s="38" t="s">
        <v>55</v>
      </c>
      <c r="G34" s="81">
        <f t="shared" ca="1" si="2"/>
        <v>16.833333333333332</v>
      </c>
      <c r="H34" s="82"/>
      <c r="I34" s="82"/>
    </row>
    <row r="35" spans="1:9" x14ac:dyDescent="0.25">
      <c r="B35" s="40" t="s">
        <v>216</v>
      </c>
      <c r="C35" s="42">
        <f t="shared" ca="1" si="0"/>
        <v>43</v>
      </c>
      <c r="D35" s="42">
        <f t="shared" ca="1" si="1"/>
        <v>3</v>
      </c>
      <c r="E35" s="38" t="s">
        <v>55</v>
      </c>
      <c r="G35" s="81">
        <f t="shared" ca="1" si="2"/>
        <v>14.333333333333334</v>
      </c>
      <c r="H35" s="82"/>
      <c r="I35" s="82"/>
    </row>
    <row r="36" spans="1:9" x14ac:dyDescent="0.25">
      <c r="D36" s="42"/>
      <c r="E36" s="42"/>
      <c r="G36" s="41"/>
    </row>
    <row r="37" spans="1:9" s="45" customFormat="1" ht="41.25" customHeight="1" x14ac:dyDescent="0.4">
      <c r="A37" s="131" t="s">
        <v>271</v>
      </c>
      <c r="B37" s="131"/>
      <c r="C37" s="131"/>
      <c r="D37" s="131"/>
      <c r="E37" s="131"/>
      <c r="F37" s="131"/>
      <c r="G37" s="46"/>
    </row>
    <row r="38" spans="1:9" ht="13" x14ac:dyDescent="0.3">
      <c r="B38" s="37" t="s">
        <v>71</v>
      </c>
      <c r="C38" s="37" t="s">
        <v>98</v>
      </c>
      <c r="D38" s="37" t="s">
        <v>99</v>
      </c>
      <c r="E38" s="37" t="s">
        <v>100</v>
      </c>
      <c r="F38" s="37" t="s">
        <v>20</v>
      </c>
      <c r="G38" s="41"/>
      <c r="H38" s="79" t="s">
        <v>198</v>
      </c>
    </row>
    <row r="39" spans="1:9" x14ac:dyDescent="0.25">
      <c r="B39" s="40" t="s">
        <v>101</v>
      </c>
      <c r="C39" s="42">
        <f ca="1">TRUNC(ABS(NORMINV(RAND(),300,100))+10)</f>
        <v>541</v>
      </c>
      <c r="D39" s="42">
        <f ca="1">TRUNC(NORMINV(RAND(),1,0.25)*C39)</f>
        <v>645</v>
      </c>
      <c r="E39" s="42">
        <f ca="1">TRUNC(ABS(C39/NORMINV(RAND(),25,1))+1)*60</f>
        <v>1320</v>
      </c>
      <c r="F39" s="42">
        <f t="shared" ref="F39:F58" ca="1" si="3">TRUNC(ABS(D39/NORMINV(RAND(),25,3))+1)*60</f>
        <v>1560</v>
      </c>
      <c r="G39" s="41"/>
      <c r="H39" s="40" t="s">
        <v>199</v>
      </c>
      <c r="I39" s="40">
        <f ca="1">CORREL(C39:C58,D39:D58)</f>
        <v>0.89488843041728772</v>
      </c>
    </row>
    <row r="40" spans="1:9" x14ac:dyDescent="0.25">
      <c r="B40" s="40" t="s">
        <v>102</v>
      </c>
      <c r="C40" s="42">
        <f t="shared" ref="C40:C58" ca="1" si="4">TRUNC(ABS(NORMINV(RAND(),300,100))+10)</f>
        <v>351</v>
      </c>
      <c r="D40" s="42">
        <f t="shared" ref="D40:D58" ca="1" si="5">TRUNC(NORMINV(RAND(),1,0.25)*C40)</f>
        <v>374</v>
      </c>
      <c r="E40" s="42">
        <f t="shared" ref="E40:E58" ca="1" si="6">TRUNC(ABS(C40/NORMINV(RAND(),25,1))+1)*60</f>
        <v>840</v>
      </c>
      <c r="F40" s="42">
        <f t="shared" ca="1" si="3"/>
        <v>1020</v>
      </c>
      <c r="G40" s="41"/>
      <c r="H40" s="40" t="s">
        <v>200</v>
      </c>
      <c r="I40" s="40">
        <f ca="1">I39^2</f>
        <v>0.80082530289471676</v>
      </c>
    </row>
    <row r="41" spans="1:9" x14ac:dyDescent="0.25">
      <c r="B41" s="40" t="s">
        <v>103</v>
      </c>
      <c r="C41" s="42">
        <f t="shared" ca="1" si="4"/>
        <v>477</v>
      </c>
      <c r="D41" s="42">
        <f t="shared" ca="1" si="5"/>
        <v>605</v>
      </c>
      <c r="E41" s="42">
        <f t="shared" ca="1" si="6"/>
        <v>1140</v>
      </c>
      <c r="F41" s="42">
        <f t="shared" ca="1" si="3"/>
        <v>1320</v>
      </c>
      <c r="G41" s="41"/>
      <c r="H41" s="40" t="s">
        <v>201</v>
      </c>
      <c r="I41" s="40">
        <f ca="1">TDIST(ABS(I39)*SQRT(COUNTA(B39:B58)-2)/SQRT(1-I40),12,2)</f>
        <v>1.9928511778498686E-6</v>
      </c>
    </row>
    <row r="42" spans="1:9" x14ac:dyDescent="0.25">
      <c r="B42" s="40" t="s">
        <v>104</v>
      </c>
      <c r="C42" s="42">
        <f t="shared" ca="1" si="4"/>
        <v>301</v>
      </c>
      <c r="D42" s="42">
        <f t="shared" ca="1" si="5"/>
        <v>378</v>
      </c>
      <c r="E42" s="42">
        <f t="shared" ca="1" si="6"/>
        <v>780</v>
      </c>
      <c r="F42" s="42">
        <f t="shared" ca="1" si="3"/>
        <v>1200</v>
      </c>
      <c r="G42" s="41"/>
    </row>
    <row r="43" spans="1:9" ht="13" x14ac:dyDescent="0.3">
      <c r="B43" s="40" t="s">
        <v>105</v>
      </c>
      <c r="C43" s="42">
        <f t="shared" ca="1" si="4"/>
        <v>254</v>
      </c>
      <c r="D43" s="42">
        <f t="shared" ca="1" si="5"/>
        <v>197</v>
      </c>
      <c r="E43" s="42">
        <f t="shared" ca="1" si="6"/>
        <v>660</v>
      </c>
      <c r="F43" s="42">
        <f t="shared" ca="1" si="3"/>
        <v>600</v>
      </c>
      <c r="G43" s="41"/>
      <c r="H43" s="77" t="s">
        <v>202</v>
      </c>
    </row>
    <row r="44" spans="1:9" x14ac:dyDescent="0.25">
      <c r="B44" s="40" t="s">
        <v>106</v>
      </c>
      <c r="C44" s="42">
        <f t="shared" ca="1" si="4"/>
        <v>472</v>
      </c>
      <c r="D44" s="42">
        <f t="shared" ca="1" si="5"/>
        <v>568</v>
      </c>
      <c r="E44" s="42">
        <f t="shared" ca="1" si="6"/>
        <v>1140</v>
      </c>
      <c r="F44" s="42">
        <f t="shared" ca="1" si="3"/>
        <v>1320</v>
      </c>
      <c r="G44" s="41"/>
      <c r="H44" s="40" t="s">
        <v>199</v>
      </c>
      <c r="I44" s="40">
        <f ca="1">CORREL(C39:C58,F39:F58)</f>
        <v>0.8157877933715374</v>
      </c>
    </row>
    <row r="45" spans="1:9" x14ac:dyDescent="0.25">
      <c r="B45" s="40" t="s">
        <v>107</v>
      </c>
      <c r="C45" s="42">
        <f t="shared" ca="1" si="4"/>
        <v>184</v>
      </c>
      <c r="D45" s="42">
        <f t="shared" ca="1" si="5"/>
        <v>143</v>
      </c>
      <c r="E45" s="42">
        <f t="shared" ca="1" si="6"/>
        <v>480</v>
      </c>
      <c r="F45" s="42">
        <f t="shared" ca="1" si="3"/>
        <v>360</v>
      </c>
      <c r="G45" s="41"/>
      <c r="H45" s="40" t="s">
        <v>200</v>
      </c>
      <c r="I45" s="40">
        <f ca="1">I44^2</f>
        <v>0.6655097238140022</v>
      </c>
    </row>
    <row r="46" spans="1:9" x14ac:dyDescent="0.25">
      <c r="B46" s="40" t="s">
        <v>108</v>
      </c>
      <c r="C46" s="42">
        <f t="shared" ca="1" si="4"/>
        <v>159</v>
      </c>
      <c r="D46" s="42">
        <f t="shared" ca="1" si="5"/>
        <v>137</v>
      </c>
      <c r="E46" s="42">
        <f t="shared" ca="1" si="6"/>
        <v>420</v>
      </c>
      <c r="F46" s="42">
        <f t="shared" ca="1" si="3"/>
        <v>300</v>
      </c>
      <c r="G46" s="41"/>
      <c r="H46" s="40" t="s">
        <v>201</v>
      </c>
      <c r="I46" s="40">
        <f ca="1">TDIST(ABS(I39)*SQRT(COUNTA(B39:B58)-2)/SQRT(1-I45),12,2)</f>
        <v>2.6716029122113165E-5</v>
      </c>
    </row>
    <row r="47" spans="1:9" x14ac:dyDescent="0.25">
      <c r="B47" s="40" t="s">
        <v>109</v>
      </c>
      <c r="C47" s="42">
        <f t="shared" ca="1" si="4"/>
        <v>276</v>
      </c>
      <c r="D47" s="42">
        <f t="shared" ca="1" si="5"/>
        <v>390</v>
      </c>
      <c r="E47" s="42">
        <f t="shared" ca="1" si="6"/>
        <v>720</v>
      </c>
      <c r="F47" s="42">
        <f t="shared" ca="1" si="3"/>
        <v>1140</v>
      </c>
      <c r="G47" s="41"/>
    </row>
    <row r="48" spans="1:9" ht="13" x14ac:dyDescent="0.3">
      <c r="B48" s="40" t="s">
        <v>110</v>
      </c>
      <c r="C48" s="42">
        <f t="shared" ca="1" si="4"/>
        <v>425</v>
      </c>
      <c r="D48" s="42">
        <f t="shared" ca="1" si="5"/>
        <v>461</v>
      </c>
      <c r="E48" s="42">
        <f t="shared" ca="1" si="6"/>
        <v>1020</v>
      </c>
      <c r="F48" s="42">
        <f t="shared" ca="1" si="3"/>
        <v>1320</v>
      </c>
      <c r="G48" s="41"/>
      <c r="H48" s="77" t="s">
        <v>203</v>
      </c>
    </row>
    <row r="49" spans="1:9" x14ac:dyDescent="0.25">
      <c r="B49" s="40" t="s">
        <v>111</v>
      </c>
      <c r="C49" s="42">
        <f t="shared" ca="1" si="4"/>
        <v>332</v>
      </c>
      <c r="D49" s="42">
        <f t="shared" ca="1" si="5"/>
        <v>353</v>
      </c>
      <c r="E49" s="42">
        <f t="shared" ca="1" si="6"/>
        <v>840</v>
      </c>
      <c r="F49" s="42">
        <f t="shared" ca="1" si="3"/>
        <v>1320</v>
      </c>
      <c r="G49" s="41"/>
      <c r="H49" s="40" t="s">
        <v>199</v>
      </c>
      <c r="I49" s="40">
        <f ca="1">CORREL(D39:D58,F39:F58)</f>
        <v>0.91552409081316422</v>
      </c>
    </row>
    <row r="50" spans="1:9" x14ac:dyDescent="0.25">
      <c r="B50" s="40" t="s">
        <v>112</v>
      </c>
      <c r="C50" s="42">
        <f t="shared" ca="1" si="4"/>
        <v>227</v>
      </c>
      <c r="D50" s="42">
        <f t="shared" ca="1" si="5"/>
        <v>278</v>
      </c>
      <c r="E50" s="42">
        <f t="shared" ca="1" si="6"/>
        <v>540</v>
      </c>
      <c r="F50" s="42">
        <f t="shared" ca="1" si="3"/>
        <v>960</v>
      </c>
      <c r="G50" s="41"/>
      <c r="H50" s="40" t="s">
        <v>200</v>
      </c>
      <c r="I50" s="40">
        <f ca="1">I49^2</f>
        <v>0.83818436085927095</v>
      </c>
    </row>
    <row r="51" spans="1:9" x14ac:dyDescent="0.25">
      <c r="B51" s="40" t="s">
        <v>113</v>
      </c>
      <c r="C51" s="42">
        <f t="shared" ca="1" si="4"/>
        <v>301</v>
      </c>
      <c r="D51" s="42">
        <f t="shared" ca="1" si="5"/>
        <v>262</v>
      </c>
      <c r="E51" s="42">
        <f t="shared" ca="1" si="6"/>
        <v>720</v>
      </c>
      <c r="F51" s="42">
        <f t="shared" ca="1" si="3"/>
        <v>660</v>
      </c>
      <c r="G51" s="41"/>
      <c r="H51" s="40" t="s">
        <v>201</v>
      </c>
      <c r="I51" s="40">
        <f ca="1">TDIST(ABS(I49)*SQRT(COUNTA(B39:B58)-2)/SQRT(1-I50),12,2)</f>
        <v>5.2208854520015526E-7</v>
      </c>
    </row>
    <row r="52" spans="1:9" x14ac:dyDescent="0.25">
      <c r="B52" s="40" t="s">
        <v>217</v>
      </c>
      <c r="C52" s="42">
        <f t="shared" ca="1" si="4"/>
        <v>418</v>
      </c>
      <c r="D52" s="42">
        <f t="shared" ca="1" si="5"/>
        <v>352</v>
      </c>
      <c r="E52" s="42">
        <f t="shared" ca="1" si="6"/>
        <v>1080</v>
      </c>
      <c r="F52" s="42">
        <f t="shared" ca="1" si="3"/>
        <v>1140</v>
      </c>
      <c r="G52" s="41"/>
    </row>
    <row r="53" spans="1:9" x14ac:dyDescent="0.25">
      <c r="B53" s="40" t="s">
        <v>218</v>
      </c>
      <c r="C53" s="42">
        <f t="shared" ca="1" si="4"/>
        <v>530</v>
      </c>
      <c r="D53" s="42">
        <f t="shared" ca="1" si="5"/>
        <v>699</v>
      </c>
      <c r="E53" s="42">
        <f t="shared" ca="1" si="6"/>
        <v>1260</v>
      </c>
      <c r="F53" s="42">
        <f t="shared" ca="1" si="3"/>
        <v>1440</v>
      </c>
      <c r="G53" s="41"/>
    </row>
    <row r="54" spans="1:9" x14ac:dyDescent="0.25">
      <c r="B54" s="40" t="s">
        <v>219</v>
      </c>
      <c r="C54" s="42">
        <f t="shared" ca="1" si="4"/>
        <v>239</v>
      </c>
      <c r="D54" s="42">
        <f t="shared" ca="1" si="5"/>
        <v>248</v>
      </c>
      <c r="E54" s="42">
        <f t="shared" ca="1" si="6"/>
        <v>600</v>
      </c>
      <c r="F54" s="42">
        <f t="shared" ca="1" si="3"/>
        <v>600</v>
      </c>
      <c r="G54" s="41"/>
    </row>
    <row r="55" spans="1:9" x14ac:dyDescent="0.25">
      <c r="B55" s="40" t="s">
        <v>220</v>
      </c>
      <c r="C55" s="42">
        <f t="shared" ca="1" si="4"/>
        <v>388</v>
      </c>
      <c r="D55" s="42">
        <f t="shared" ca="1" si="5"/>
        <v>633</v>
      </c>
      <c r="E55" s="42">
        <f t="shared" ca="1" si="6"/>
        <v>960</v>
      </c>
      <c r="F55" s="42">
        <f t="shared" ca="1" si="3"/>
        <v>1500</v>
      </c>
      <c r="G55" s="41"/>
    </row>
    <row r="56" spans="1:9" x14ac:dyDescent="0.25">
      <c r="B56" s="40" t="s">
        <v>221</v>
      </c>
      <c r="C56" s="42">
        <f t="shared" ca="1" si="4"/>
        <v>314</v>
      </c>
      <c r="D56" s="42">
        <f t="shared" ca="1" si="5"/>
        <v>256</v>
      </c>
      <c r="E56" s="42">
        <f t="shared" ca="1" si="6"/>
        <v>780</v>
      </c>
      <c r="F56" s="42">
        <f t="shared" ca="1" si="3"/>
        <v>720</v>
      </c>
      <c r="G56" s="41"/>
    </row>
    <row r="57" spans="1:9" x14ac:dyDescent="0.25">
      <c r="B57" s="40" t="s">
        <v>222</v>
      </c>
      <c r="C57" s="42">
        <f t="shared" ca="1" si="4"/>
        <v>407</v>
      </c>
      <c r="D57" s="42">
        <f t="shared" ca="1" si="5"/>
        <v>339</v>
      </c>
      <c r="E57" s="42">
        <f t="shared" ca="1" si="6"/>
        <v>1020</v>
      </c>
      <c r="F57" s="42">
        <f t="shared" ca="1" si="3"/>
        <v>780</v>
      </c>
      <c r="G57" s="41"/>
    </row>
    <row r="58" spans="1:9" x14ac:dyDescent="0.25">
      <c r="B58" s="40" t="s">
        <v>223</v>
      </c>
      <c r="C58" s="42">
        <f t="shared" ca="1" si="4"/>
        <v>439</v>
      </c>
      <c r="D58" s="42">
        <f t="shared" ca="1" si="5"/>
        <v>590</v>
      </c>
      <c r="E58" s="42">
        <f t="shared" ca="1" si="6"/>
        <v>1140</v>
      </c>
      <c r="F58" s="42">
        <f t="shared" ca="1" si="3"/>
        <v>1500</v>
      </c>
      <c r="G58" s="41"/>
    </row>
    <row r="59" spans="1:9" x14ac:dyDescent="0.25">
      <c r="C59" s="42"/>
      <c r="D59" s="42"/>
      <c r="E59" s="42"/>
      <c r="F59" s="42"/>
      <c r="G59" s="41"/>
    </row>
    <row r="60" spans="1:9" s="45" customFormat="1" ht="41.25" customHeight="1" x14ac:dyDescent="0.4">
      <c r="A60" s="130" t="s">
        <v>190</v>
      </c>
      <c r="B60" s="130"/>
      <c r="C60" s="130"/>
      <c r="D60" s="130"/>
      <c r="E60" s="130"/>
      <c r="F60" s="130"/>
      <c r="G60" s="46"/>
    </row>
    <row r="61" spans="1:9" ht="13" x14ac:dyDescent="0.3">
      <c r="C61" s="39" t="s">
        <v>28</v>
      </c>
      <c r="D61" s="37" t="s">
        <v>114</v>
      </c>
      <c r="E61" s="37" t="s">
        <v>115</v>
      </c>
      <c r="F61" s="37" t="s">
        <v>116</v>
      </c>
    </row>
    <row r="62" spans="1:9" x14ac:dyDescent="0.25">
      <c r="C62" s="40" t="s">
        <v>21</v>
      </c>
      <c r="D62" s="43">
        <f ca="1">MAX(TRUNC(ABS(NORMINV(RAND(),15,3))),1)/100</f>
        <v>0.17</v>
      </c>
      <c r="E62" s="43">
        <f ca="1">MAX(TRUNC(ABS(NORMINV(RAND(),0,0.01))),0)/100</f>
        <v>0</v>
      </c>
      <c r="F62" s="43">
        <f ca="1">MAX(TRUNC(ABS(NORMINV(RAND(),0,0.01))),0)/100</f>
        <v>0</v>
      </c>
    </row>
    <row r="63" spans="1:9" x14ac:dyDescent="0.25">
      <c r="C63" s="40" t="s">
        <v>22</v>
      </c>
      <c r="D63" s="43">
        <f ca="1">MAX(TRUNC(ABS(NORMINV(RAND(),20,3))),1)/100</f>
        <v>0.18</v>
      </c>
      <c r="E63" s="43">
        <f ca="1">MAX(TRUNC(ABS(NORMINV(RAND(),5,3))),1)/100</f>
        <v>0.01</v>
      </c>
      <c r="F63" s="43">
        <f ca="1">MAX(TRUNC(ABS(NORMINV(RAND(),1,3))),1)/100</f>
        <v>0.01</v>
      </c>
    </row>
    <row r="64" spans="1:9" x14ac:dyDescent="0.25">
      <c r="C64" s="40" t="s">
        <v>23</v>
      </c>
      <c r="D64" s="43">
        <f ca="1">MAX(TRUNC(ABS(NORMINV(RAND(),5,3))),1)/100</f>
        <v>0.02</v>
      </c>
      <c r="E64" s="43">
        <f ca="1">E68-(SUM(E62:E63)+SUM(E65:E67))</f>
        <v>0.77</v>
      </c>
      <c r="F64" s="43">
        <f ca="1">MAX(TRUNC(ABS(NORMINV(RAND(),5,3))),1)/100</f>
        <v>0.04</v>
      </c>
    </row>
    <row r="65" spans="1:7" x14ac:dyDescent="0.25">
      <c r="C65" s="40" t="s">
        <v>24</v>
      </c>
      <c r="D65" s="43">
        <f ca="1">MAX(TRUNC(ABS(NORMINV(RAND(),3,3))),1)/100</f>
        <v>0.03</v>
      </c>
      <c r="E65" s="43">
        <f ca="1">MAX(TRUNC(ABS(NORMINV(RAND(),3,3))),1)/100</f>
        <v>0.04</v>
      </c>
      <c r="F65" s="43">
        <f ca="1">MAX(TRUNC(ABS(NORMINV(RAND(),30,3))),1)/100</f>
        <v>0.26</v>
      </c>
    </row>
    <row r="66" spans="1:7" x14ac:dyDescent="0.25">
      <c r="C66" s="40" t="s">
        <v>25</v>
      </c>
      <c r="D66" s="43">
        <f ca="1">D68-(SUM(D62:D65)+SUM(D67))</f>
        <v>0.57999999999999996</v>
      </c>
      <c r="E66" s="43">
        <f ca="1">MAX(TRUNC(ABS(NORMINV(RAND(),20,3))),1)/100</f>
        <v>0.18</v>
      </c>
      <c r="F66" s="43">
        <f ca="1">F68-(SUM(F62:F65)+SUM(F67))</f>
        <v>0.69</v>
      </c>
    </row>
    <row r="67" spans="1:7" x14ac:dyDescent="0.25">
      <c r="C67" s="40" t="s">
        <v>26</v>
      </c>
      <c r="D67" s="43">
        <f ca="1">MAX(TRUNC(ABS(NORMINV(RAND(),3,3))),1)/100</f>
        <v>0.02</v>
      </c>
      <c r="E67" s="43">
        <f ca="1">MAX(TRUNC(ABS(NORMINV(RAND(),0,0.01))),0)/100</f>
        <v>0</v>
      </c>
      <c r="F67" s="43">
        <f ca="1">MAX(TRUNC(ABS(NORMINV(RAND(),0,0.01))),0)/100</f>
        <v>0</v>
      </c>
    </row>
    <row r="68" spans="1:7" x14ac:dyDescent="0.25">
      <c r="C68" s="40" t="s">
        <v>117</v>
      </c>
      <c r="D68" s="43">
        <v>1</v>
      </c>
      <c r="E68" s="43">
        <v>1</v>
      </c>
      <c r="F68" s="43">
        <v>1</v>
      </c>
    </row>
    <row r="69" spans="1:7" x14ac:dyDescent="0.25">
      <c r="D69" s="43"/>
      <c r="E69" s="43"/>
      <c r="F69" s="43"/>
    </row>
    <row r="70" spans="1:7" s="45" customFormat="1" ht="114.75" customHeight="1" x14ac:dyDescent="0.4">
      <c r="A70" s="130" t="s">
        <v>191</v>
      </c>
      <c r="B70" s="130"/>
      <c r="C70" s="130"/>
      <c r="D70" s="130"/>
      <c r="E70" s="130"/>
      <c r="F70" s="130"/>
      <c r="G70" s="46"/>
    </row>
    <row r="71" spans="1:7" x14ac:dyDescent="0.25">
      <c r="B71" s="40" t="s">
        <v>118</v>
      </c>
    </row>
    <row r="72" spans="1:7" x14ac:dyDescent="0.25">
      <c r="C72" s="40" t="s">
        <v>46</v>
      </c>
      <c r="E72" s="42">
        <f ca="1">D46</f>
        <v>137</v>
      </c>
    </row>
    <row r="73" spans="1:7" x14ac:dyDescent="0.25">
      <c r="C73" s="40" t="s">
        <v>47</v>
      </c>
      <c r="E73" s="42">
        <f ca="1">TRUNC(E72/25)</f>
        <v>5</v>
      </c>
    </row>
    <row r="74" spans="1:7" x14ac:dyDescent="0.25">
      <c r="C74" s="40" t="s">
        <v>48</v>
      </c>
      <c r="E74" s="42">
        <f ca="1">TRUNC(E72/25)</f>
        <v>5</v>
      </c>
    </row>
    <row r="75" spans="1:7" x14ac:dyDescent="0.25">
      <c r="E75" s="42"/>
    </row>
    <row r="76" spans="1:7" x14ac:dyDescent="0.25">
      <c r="B76" s="40" t="s">
        <v>119</v>
      </c>
    </row>
    <row r="77" spans="1:7" x14ac:dyDescent="0.25">
      <c r="C77" s="31" t="s">
        <v>120</v>
      </c>
      <c r="D77" s="31" t="s">
        <v>29</v>
      </c>
      <c r="E77" s="31" t="s">
        <v>49</v>
      </c>
      <c r="F77" s="31" t="s">
        <v>121</v>
      </c>
    </row>
    <row r="78" spans="1:7" x14ac:dyDescent="0.25">
      <c r="C78" s="40" t="s">
        <v>122</v>
      </c>
      <c r="D78" s="40" t="str">
        <f ca="1">VLOOKUP((ROUNDUP(RAND()*3,0)),$A$92:$B$94,2)</f>
        <v>Data</v>
      </c>
      <c r="E78" s="42">
        <f ca="1">TRUNC(ABS(NORMINV(RAND(),4,3))+1)</f>
        <v>1</v>
      </c>
      <c r="F78" s="38" t="str">
        <f ca="1">VLOOKUP((ROUNDUP(RAND()*5,0)),$A$96:$B$100,2)</f>
        <v>L</v>
      </c>
    </row>
    <row r="79" spans="1:7" x14ac:dyDescent="0.25">
      <c r="C79" s="40" t="s">
        <v>123</v>
      </c>
      <c r="D79" s="40" t="str">
        <f ca="1">VLOOKUP((ROUNDUP(RAND()*3,0)),$A$92:$B$94,2)</f>
        <v>IO</v>
      </c>
      <c r="E79" s="42">
        <f ca="1">TRUNC(ABS(NORMINV(RAND(),4,3))+1)</f>
        <v>10</v>
      </c>
      <c r="F79" s="38" t="str">
        <f ca="1">VLOOKUP((ROUNDUP(RAND()*5,0)),$A$96:$B$100,2)</f>
        <v>VL</v>
      </c>
    </row>
    <row r="80" spans="1:7" x14ac:dyDescent="0.25">
      <c r="F80" s="38"/>
    </row>
    <row r="81" spans="1:6" x14ac:dyDescent="0.25">
      <c r="B81" s="40" t="s">
        <v>124</v>
      </c>
      <c r="F81" s="38"/>
    </row>
    <row r="82" spans="1:6" x14ac:dyDescent="0.25">
      <c r="C82" s="31" t="s">
        <v>50</v>
      </c>
      <c r="D82" s="31" t="s">
        <v>29</v>
      </c>
      <c r="E82" s="31" t="s">
        <v>49</v>
      </c>
      <c r="F82" s="31" t="s">
        <v>121</v>
      </c>
    </row>
    <row r="83" spans="1:6" x14ac:dyDescent="0.25">
      <c r="C83" s="40" t="s">
        <v>125</v>
      </c>
      <c r="D83" s="40" t="str">
        <f t="shared" ref="D83:D88" ca="1" si="7">VLOOKUP((ROUNDUP(RAND()*3,0)),$A$92:$B$94,2)</f>
        <v>Calculation</v>
      </c>
      <c r="E83" s="42">
        <f t="shared" ref="E83:E88" ca="1" si="8">TRUNC(ABS(NORMINV(RAND(),4,3))+1)</f>
        <v>5</v>
      </c>
      <c r="F83" s="38" t="str">
        <f t="shared" ref="F83:F88" ca="1" si="9">VLOOKUP((ROUNDUP(RAND()*5,0)),$A$96:$B$100,2)</f>
        <v>L</v>
      </c>
    </row>
    <row r="84" spans="1:6" x14ac:dyDescent="0.25">
      <c r="C84" s="40" t="s">
        <v>126</v>
      </c>
      <c r="D84" s="40" t="str">
        <f t="shared" ca="1" si="7"/>
        <v>IO</v>
      </c>
      <c r="E84" s="42">
        <f t="shared" ca="1" si="8"/>
        <v>1</v>
      </c>
      <c r="F84" s="38" t="str">
        <f t="shared" ca="1" si="9"/>
        <v>VL</v>
      </c>
    </row>
    <row r="85" spans="1:6" x14ac:dyDescent="0.25">
      <c r="C85" s="40" t="s">
        <v>127</v>
      </c>
      <c r="D85" s="40" t="str">
        <f t="shared" ca="1" si="7"/>
        <v>IO</v>
      </c>
      <c r="E85" s="42">
        <f t="shared" ca="1" si="8"/>
        <v>2</v>
      </c>
      <c r="F85" s="38" t="str">
        <f t="shared" ca="1" si="9"/>
        <v>S</v>
      </c>
    </row>
    <row r="86" spans="1:6" x14ac:dyDescent="0.25">
      <c r="C86" s="40" t="s">
        <v>128</v>
      </c>
      <c r="D86" s="40" t="str">
        <f t="shared" ca="1" si="7"/>
        <v>IO</v>
      </c>
      <c r="E86" s="42">
        <f t="shared" ca="1" si="8"/>
        <v>5</v>
      </c>
      <c r="F86" s="38" t="str">
        <f t="shared" ca="1" si="9"/>
        <v>M</v>
      </c>
    </row>
    <row r="87" spans="1:6" x14ac:dyDescent="0.25">
      <c r="C87" s="40" t="s">
        <v>129</v>
      </c>
      <c r="D87" s="40" t="str">
        <f t="shared" ca="1" si="7"/>
        <v>IO</v>
      </c>
      <c r="E87" s="42">
        <f t="shared" ca="1" si="8"/>
        <v>7</v>
      </c>
      <c r="F87" s="38" t="str">
        <f t="shared" ca="1" si="9"/>
        <v>L</v>
      </c>
    </row>
    <row r="88" spans="1:6" x14ac:dyDescent="0.25">
      <c r="C88" s="40" t="s">
        <v>130</v>
      </c>
      <c r="D88" s="40" t="str">
        <f t="shared" ca="1" si="7"/>
        <v>Data</v>
      </c>
      <c r="E88" s="42">
        <f t="shared" ca="1" si="8"/>
        <v>3</v>
      </c>
      <c r="F88" s="38" t="str">
        <f t="shared" ca="1" si="9"/>
        <v>VL</v>
      </c>
    </row>
    <row r="89" spans="1:6" x14ac:dyDescent="0.25">
      <c r="E89" s="42"/>
      <c r="F89" s="38"/>
    </row>
    <row r="90" spans="1:6" x14ac:dyDescent="0.25">
      <c r="B90" s="44"/>
    </row>
    <row r="91" spans="1:6" x14ac:dyDescent="0.25">
      <c r="A91" s="40" t="s">
        <v>224</v>
      </c>
    </row>
    <row r="92" spans="1:6" x14ac:dyDescent="0.25">
      <c r="A92" s="40">
        <v>1</v>
      </c>
      <c r="B92" s="40" t="s">
        <v>53</v>
      </c>
    </row>
    <row r="93" spans="1:6" x14ac:dyDescent="0.25">
      <c r="A93" s="40">
        <v>2</v>
      </c>
      <c r="B93" s="40" t="s">
        <v>138</v>
      </c>
    </row>
    <row r="94" spans="1:6" x14ac:dyDescent="0.25">
      <c r="A94" s="40">
        <v>3</v>
      </c>
      <c r="B94" s="40" t="s">
        <v>30</v>
      </c>
    </row>
    <row r="96" spans="1:6" x14ac:dyDescent="0.25">
      <c r="A96" s="40">
        <v>1</v>
      </c>
      <c r="B96" s="40" t="s">
        <v>225</v>
      </c>
    </row>
    <row r="97" spans="1:8" x14ac:dyDescent="0.25">
      <c r="A97" s="40">
        <v>2</v>
      </c>
      <c r="B97" s="40" t="s">
        <v>57</v>
      </c>
    </row>
    <row r="98" spans="1:8" x14ac:dyDescent="0.25">
      <c r="A98" s="40">
        <v>3</v>
      </c>
      <c r="B98" s="40" t="s">
        <v>58</v>
      </c>
    </row>
    <row r="99" spans="1:8" x14ac:dyDescent="0.25">
      <c r="A99" s="40">
        <v>4</v>
      </c>
      <c r="B99" s="40" t="s">
        <v>59</v>
      </c>
    </row>
    <row r="100" spans="1:8" x14ac:dyDescent="0.25">
      <c r="A100" s="40">
        <v>5</v>
      </c>
      <c r="B100" s="40" t="s">
        <v>208</v>
      </c>
    </row>
    <row r="103" spans="1:8" x14ac:dyDescent="0.25">
      <c r="A103" s="40" t="s">
        <v>227</v>
      </c>
      <c r="B103" s="40" t="b">
        <f ca="1">NOT(AND(C103=D103,E103=C103))</f>
        <v>0</v>
      </c>
      <c r="C103" s="40" t="str">
        <f ca="1">J3</f>
        <v>LOG</v>
      </c>
      <c r="D103" s="40" t="str">
        <f ca="1">J13</f>
        <v>LOG</v>
      </c>
      <c r="E103" s="40" t="str">
        <f ca="1">J26</f>
        <v>LOG</v>
      </c>
    </row>
    <row r="104" spans="1:8" x14ac:dyDescent="0.25">
      <c r="A104" s="40" t="s">
        <v>226</v>
      </c>
      <c r="B104" s="40" t="b">
        <f ca="1">AND(AND(C104&gt;0.5,D104&lt;0.2),OR(E104&lt;0.5,F104&gt;0.2),AND(G104&gt;0.5,H104&lt;0.2))</f>
        <v>0</v>
      </c>
      <c r="C104" s="40">
        <f ca="1">I40</f>
        <v>0.80082530289471676</v>
      </c>
      <c r="D104" s="40">
        <f ca="1">I41</f>
        <v>1.9928511778498686E-6</v>
      </c>
      <c r="E104" s="40">
        <f ca="1">I45</f>
        <v>0.6655097238140022</v>
      </c>
      <c r="F104" s="40">
        <f ca="1">I46</f>
        <v>2.6716029122113165E-5</v>
      </c>
      <c r="G104" s="40">
        <f ca="1">I50</f>
        <v>0.83818436085927095</v>
      </c>
      <c r="H104" s="40">
        <f ca="1">I51</f>
        <v>5.2208854520015526E-7</v>
      </c>
    </row>
  </sheetData>
  <mergeCells count="4">
    <mergeCell ref="A1:F1"/>
    <mergeCell ref="A37:F37"/>
    <mergeCell ref="A60:F60"/>
    <mergeCell ref="A70:F70"/>
  </mergeCells>
  <phoneticPr fontId="0" type="noConversion"/>
  <conditionalFormatting sqref="I3">
    <cfRule type="expression" dxfId="0" priority="1" stopIfTrue="1">
      <formula>"&gt;$H$3+2*$I$3"</formula>
    </cfRule>
  </conditionalFormatting>
  <pageMargins left="0.75" right="0.75" top="1" bottom="1" header="0.5" footer="0.5"/>
  <pageSetup orientation="portrait" r:id="rId1"/>
  <headerFooter alignWithMargins="0"/>
  <rowBreaks count="3" manualBreakCount="3">
    <brk id="35" max="16383" man="1"/>
    <brk id="59" max="16383" man="1"/>
    <brk id="6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pageSetUpPr fitToPage="1"/>
  </sheetPr>
  <dimension ref="A1:K103"/>
  <sheetViews>
    <sheetView showGridLines="0" workbookViewId="0">
      <selection activeCell="A2" sqref="A2:IV61"/>
    </sheetView>
  </sheetViews>
  <sheetFormatPr defaultColWidth="9.1796875" defaultRowHeight="12.5" x14ac:dyDescent="0.25"/>
  <cols>
    <col min="1" max="1" width="14.7265625" style="4" customWidth="1"/>
    <col min="2" max="2" width="15.1796875" style="4" customWidth="1"/>
    <col min="3" max="5" width="12.7265625" style="4" customWidth="1"/>
    <col min="6" max="6" width="14.1796875" style="4" customWidth="1"/>
    <col min="7" max="8" width="12.7265625" style="4" customWidth="1"/>
    <col min="9" max="16384" width="9.1796875" style="4"/>
  </cols>
  <sheetData>
    <row r="1" spans="1:8" s="32" customFormat="1" ht="20.5" thickBot="1" x14ac:dyDescent="0.45">
      <c r="A1" s="135" t="s">
        <v>288</v>
      </c>
      <c r="B1" s="135"/>
      <c r="C1" s="135"/>
      <c r="D1" s="135"/>
      <c r="E1" s="135"/>
      <c r="F1" s="135"/>
      <c r="G1" s="135"/>
    </row>
    <row r="2" spans="1:8" hidden="1" x14ac:dyDescent="0.25">
      <c r="A2" s="4" t="s">
        <v>41</v>
      </c>
      <c r="B2" s="26"/>
      <c r="C2" s="141"/>
      <c r="D2" s="141"/>
      <c r="E2" s="141"/>
    </row>
    <row r="3" spans="1:8" hidden="1" x14ac:dyDescent="0.25">
      <c r="A3" s="4" t="s">
        <v>42</v>
      </c>
      <c r="B3" s="26"/>
      <c r="C3" s="142"/>
      <c r="D3" s="143"/>
      <c r="E3" s="144"/>
    </row>
    <row r="4" spans="1:8" hidden="1" x14ac:dyDescent="0.25">
      <c r="A4" s="4" t="s">
        <v>43</v>
      </c>
      <c r="B4" s="26"/>
      <c r="C4" s="142"/>
      <c r="D4" s="143"/>
      <c r="E4" s="144"/>
    </row>
    <row r="5" spans="1:8" ht="15.75" hidden="1" customHeight="1" x14ac:dyDescent="0.25">
      <c r="A5" s="132" t="s">
        <v>66</v>
      </c>
      <c r="B5" s="132"/>
    </row>
    <row r="6" spans="1:8" hidden="1" x14ac:dyDescent="0.25">
      <c r="A6" s="132"/>
      <c r="B6" s="132"/>
    </row>
    <row r="7" spans="1:8" ht="14.25" hidden="1" customHeight="1" x14ac:dyDescent="0.25">
      <c r="A7" s="132"/>
      <c r="B7" s="132"/>
      <c r="C7" s="133"/>
      <c r="D7" s="134"/>
    </row>
    <row r="8" spans="1:8" hidden="1" x14ac:dyDescent="0.25">
      <c r="A8" s="25"/>
      <c r="B8" s="25"/>
    </row>
    <row r="9" spans="1:8" hidden="1" x14ac:dyDescent="0.25">
      <c r="A9" s="4" t="s">
        <v>0</v>
      </c>
      <c r="C9" s="4">
        <f>Description!B3</f>
        <v>6</v>
      </c>
    </row>
    <row r="10" spans="1:8" hidden="1" x14ac:dyDescent="0.25">
      <c r="A10" s="4" t="s">
        <v>44</v>
      </c>
      <c r="C10" s="8">
        <f>Description!B4</f>
        <v>44667</v>
      </c>
      <c r="D10" s="8" t="str">
        <f>Description!C4</f>
        <v>11:55am</v>
      </c>
    </row>
    <row r="11" spans="1:8" hidden="1" x14ac:dyDescent="0.25">
      <c r="A11" s="5" t="s">
        <v>184</v>
      </c>
      <c r="C11" s="8">
        <f>Description!B5</f>
        <v>0</v>
      </c>
      <c r="D11" s="8">
        <f>Description!C5</f>
        <v>0</v>
      </c>
    </row>
    <row r="12" spans="1:8" hidden="1" x14ac:dyDescent="0.25">
      <c r="A12" s="5" t="s">
        <v>65</v>
      </c>
      <c r="C12" s="29" t="str">
        <f>Description!B6</f>
        <v>6.xls</v>
      </c>
    </row>
    <row r="13" spans="1:8" hidden="1" x14ac:dyDescent="0.25"/>
    <row r="14" spans="1:8" ht="20" hidden="1" x14ac:dyDescent="0.4">
      <c r="A14" s="3" t="s">
        <v>1</v>
      </c>
      <c r="B14" s="3"/>
      <c r="C14" s="3"/>
      <c r="D14" s="3"/>
      <c r="E14" s="3"/>
      <c r="F14" s="3"/>
      <c r="G14" s="3"/>
      <c r="H14" s="3"/>
    </row>
    <row r="15" spans="1:8" hidden="1" x14ac:dyDescent="0.25">
      <c r="A15" s="9" t="s">
        <v>27</v>
      </c>
      <c r="B15" s="4" t="s">
        <v>2</v>
      </c>
    </row>
    <row r="16" spans="1:8" hidden="1" x14ac:dyDescent="0.25">
      <c r="A16" s="9" t="s">
        <v>27</v>
      </c>
      <c r="B16" s="4" t="s">
        <v>3</v>
      </c>
    </row>
    <row r="17" spans="1:8" hidden="1" x14ac:dyDescent="0.25">
      <c r="A17" s="9" t="s">
        <v>27</v>
      </c>
      <c r="B17" s="4" t="s">
        <v>4</v>
      </c>
      <c r="C17" s="9"/>
      <c r="D17" s="9"/>
      <c r="E17" s="9"/>
      <c r="F17" s="9"/>
      <c r="G17" s="9"/>
      <c r="H17" s="9"/>
    </row>
    <row r="18" spans="1:8" hidden="1" x14ac:dyDescent="0.25">
      <c r="A18" s="9" t="s">
        <v>27</v>
      </c>
      <c r="B18" s="4" t="s">
        <v>5</v>
      </c>
    </row>
    <row r="19" spans="1:8" hidden="1" x14ac:dyDescent="0.25">
      <c r="A19" s="9" t="s">
        <v>27</v>
      </c>
      <c r="B19" s="4" t="s">
        <v>6</v>
      </c>
    </row>
    <row r="20" spans="1:8" hidden="1" x14ac:dyDescent="0.25">
      <c r="A20" s="9" t="s">
        <v>63</v>
      </c>
      <c r="B20" s="4" t="s">
        <v>10</v>
      </c>
    </row>
    <row r="21" spans="1:8" hidden="1" x14ac:dyDescent="0.25">
      <c r="A21" s="9" t="s">
        <v>63</v>
      </c>
      <c r="B21" s="4" t="s">
        <v>11</v>
      </c>
    </row>
    <row r="22" spans="1:8" hidden="1" x14ac:dyDescent="0.25">
      <c r="A22" s="9" t="s">
        <v>63</v>
      </c>
      <c r="B22" s="4" t="s">
        <v>62</v>
      </c>
    </row>
    <row r="23" spans="1:8" hidden="1" x14ac:dyDescent="0.25">
      <c r="A23" s="9" t="s">
        <v>63</v>
      </c>
      <c r="B23" s="4" t="s">
        <v>61</v>
      </c>
    </row>
    <row r="24" spans="1:8" hidden="1" x14ac:dyDescent="0.25">
      <c r="A24" s="9" t="s">
        <v>27</v>
      </c>
      <c r="B24" s="4" t="s">
        <v>7</v>
      </c>
    </row>
    <row r="25" spans="1:8" hidden="1" x14ac:dyDescent="0.25">
      <c r="A25" s="9" t="s">
        <v>27</v>
      </c>
      <c r="B25" s="4" t="s">
        <v>19</v>
      </c>
    </row>
    <row r="26" spans="1:8" hidden="1" x14ac:dyDescent="0.25">
      <c r="A26" s="4" t="s">
        <v>27</v>
      </c>
      <c r="B26" s="4" t="s">
        <v>17</v>
      </c>
    </row>
    <row r="27" spans="1:8" hidden="1" x14ac:dyDescent="0.25">
      <c r="A27" s="4" t="s">
        <v>27</v>
      </c>
      <c r="B27" s="4" t="s">
        <v>18</v>
      </c>
    </row>
    <row r="28" spans="1:8" hidden="1" x14ac:dyDescent="0.25">
      <c r="A28" s="4" t="s">
        <v>27</v>
      </c>
      <c r="B28" s="4" t="s">
        <v>6</v>
      </c>
    </row>
    <row r="29" spans="1:8" hidden="1" x14ac:dyDescent="0.25">
      <c r="A29" s="4" t="s">
        <v>27</v>
      </c>
      <c r="B29" s="4" t="s">
        <v>8</v>
      </c>
    </row>
    <row r="30" spans="1:8" hidden="1" x14ac:dyDescent="0.25">
      <c r="A30" s="4" t="s">
        <v>27</v>
      </c>
      <c r="B30" s="4" t="s">
        <v>9</v>
      </c>
    </row>
    <row r="31" spans="1:8" hidden="1" x14ac:dyDescent="0.25">
      <c r="A31" s="4" t="s">
        <v>27</v>
      </c>
      <c r="B31" s="4" t="s">
        <v>10</v>
      </c>
    </row>
    <row r="32" spans="1:8" hidden="1" x14ac:dyDescent="0.25">
      <c r="A32" s="4" t="s">
        <v>27</v>
      </c>
      <c r="B32" s="4" t="s">
        <v>11</v>
      </c>
    </row>
    <row r="33" spans="1:11" hidden="1" x14ac:dyDescent="0.25">
      <c r="A33" s="4" t="s">
        <v>27</v>
      </c>
      <c r="B33" s="4" t="s">
        <v>12</v>
      </c>
    </row>
    <row r="34" spans="1:11" hidden="1" x14ac:dyDescent="0.25">
      <c r="A34" s="4" t="s">
        <v>27</v>
      </c>
      <c r="B34" s="4" t="s">
        <v>13</v>
      </c>
    </row>
    <row r="35" spans="1:11" hidden="1" x14ac:dyDescent="0.25">
      <c r="A35" s="4" t="s">
        <v>27</v>
      </c>
      <c r="B35" s="4" t="s">
        <v>14</v>
      </c>
    </row>
    <row r="36" spans="1:11" hidden="1" x14ac:dyDescent="0.25">
      <c r="A36" s="4" t="s">
        <v>27</v>
      </c>
      <c r="B36" s="4" t="s">
        <v>15</v>
      </c>
    </row>
    <row r="37" spans="1:11" hidden="1" x14ac:dyDescent="0.25">
      <c r="A37" s="9" t="s">
        <v>27</v>
      </c>
      <c r="B37" s="4" t="s">
        <v>16</v>
      </c>
    </row>
    <row r="38" spans="1:11" ht="13" hidden="1" thickBot="1" x14ac:dyDescent="0.3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</row>
    <row r="39" spans="1:11" ht="20" hidden="1" x14ac:dyDescent="0.4">
      <c r="A39" s="3" t="s">
        <v>31</v>
      </c>
      <c r="B39" s="3"/>
      <c r="C39" s="3"/>
      <c r="D39" s="3"/>
      <c r="E39" s="3"/>
      <c r="F39" s="3"/>
      <c r="G39" s="3"/>
      <c r="H39" s="3"/>
    </row>
    <row r="40" spans="1:11" ht="26" hidden="1" x14ac:dyDescent="0.3">
      <c r="A40" s="47" t="s">
        <v>33</v>
      </c>
      <c r="B40" s="47" t="s">
        <v>34</v>
      </c>
      <c r="C40" s="47" t="s">
        <v>35</v>
      </c>
      <c r="D40" s="47" t="s">
        <v>36</v>
      </c>
      <c r="E40" s="145" t="s">
        <v>37</v>
      </c>
      <c r="F40" s="146"/>
      <c r="G40" s="146"/>
      <c r="H40" s="146"/>
      <c r="I40" s="146"/>
      <c r="J40" s="146"/>
      <c r="K40" s="147"/>
    </row>
    <row r="41" spans="1:11" ht="13" hidden="1" x14ac:dyDescent="0.25">
      <c r="A41" s="57" t="s">
        <v>163</v>
      </c>
      <c r="B41" s="52"/>
      <c r="C41" s="53"/>
      <c r="D41" s="54"/>
      <c r="E41" s="137"/>
      <c r="F41" s="137"/>
      <c r="G41" s="137"/>
      <c r="H41" s="137"/>
      <c r="I41" s="137"/>
      <c r="J41" s="137"/>
      <c r="K41" s="138"/>
    </row>
    <row r="42" spans="1:11" ht="25" hidden="1" x14ac:dyDescent="0.25">
      <c r="A42" s="49"/>
      <c r="B42" s="49" t="s">
        <v>164</v>
      </c>
      <c r="C42" s="13">
        <v>2</v>
      </c>
      <c r="D42" s="12"/>
      <c r="E42" s="136"/>
      <c r="F42" s="136"/>
      <c r="G42" s="136"/>
      <c r="H42" s="136"/>
      <c r="I42" s="136"/>
      <c r="J42" s="136"/>
      <c r="K42" s="136"/>
    </row>
    <row r="43" spans="1:11" hidden="1" x14ac:dyDescent="0.25">
      <c r="A43" s="49"/>
      <c r="B43" s="49" t="s">
        <v>165</v>
      </c>
      <c r="C43" s="13">
        <v>2</v>
      </c>
      <c r="D43" s="12"/>
      <c r="E43" s="136"/>
      <c r="F43" s="136"/>
      <c r="G43" s="136"/>
      <c r="H43" s="136"/>
      <c r="I43" s="136"/>
      <c r="J43" s="136"/>
      <c r="K43" s="136"/>
    </row>
    <row r="44" spans="1:11" ht="13" hidden="1" x14ac:dyDescent="0.25">
      <c r="A44" s="57" t="s">
        <v>166</v>
      </c>
      <c r="B44" s="52"/>
      <c r="C44" s="53"/>
      <c r="D44" s="54"/>
      <c r="E44" s="139"/>
      <c r="F44" s="139"/>
      <c r="G44" s="139"/>
      <c r="H44" s="139"/>
      <c r="I44" s="139"/>
      <c r="J44" s="139"/>
      <c r="K44" s="140"/>
    </row>
    <row r="45" spans="1:11" ht="13.5" hidden="1" customHeight="1" x14ac:dyDescent="0.25">
      <c r="A45" s="49"/>
      <c r="B45" s="58" t="s">
        <v>167</v>
      </c>
      <c r="C45" s="13">
        <v>2</v>
      </c>
      <c r="D45" s="12"/>
      <c r="E45" s="136"/>
      <c r="F45" s="136"/>
      <c r="G45" s="136"/>
      <c r="H45" s="136"/>
      <c r="I45" s="136"/>
      <c r="J45" s="136"/>
      <c r="K45" s="136"/>
    </row>
    <row r="46" spans="1:11" ht="25" hidden="1" x14ac:dyDescent="0.25">
      <c r="A46" s="49"/>
      <c r="B46" s="58" t="s">
        <v>168</v>
      </c>
      <c r="C46" s="13">
        <v>2</v>
      </c>
      <c r="D46" s="12"/>
      <c r="E46" s="136"/>
      <c r="F46" s="136"/>
      <c r="G46" s="136"/>
      <c r="H46" s="136"/>
      <c r="I46" s="136"/>
      <c r="J46" s="136"/>
      <c r="K46" s="136"/>
    </row>
    <row r="47" spans="1:11" hidden="1" x14ac:dyDescent="0.25">
      <c r="A47" s="49"/>
      <c r="B47" s="58" t="s">
        <v>169</v>
      </c>
      <c r="C47" s="13">
        <v>2</v>
      </c>
      <c r="D47" s="12"/>
      <c r="E47" s="136"/>
      <c r="F47" s="136"/>
      <c r="G47" s="136"/>
      <c r="H47" s="136"/>
      <c r="I47" s="136"/>
      <c r="J47" s="136"/>
      <c r="K47" s="136"/>
    </row>
    <row r="48" spans="1:11" ht="13" hidden="1" x14ac:dyDescent="0.25">
      <c r="A48" s="57" t="s">
        <v>170</v>
      </c>
      <c r="B48" s="52"/>
      <c r="C48" s="53"/>
      <c r="D48" s="54"/>
      <c r="E48" s="139"/>
      <c r="F48" s="139"/>
      <c r="G48" s="139"/>
      <c r="H48" s="139"/>
      <c r="I48" s="139"/>
      <c r="J48" s="139"/>
      <c r="K48" s="140"/>
    </row>
    <row r="49" spans="1:11" ht="25" hidden="1" x14ac:dyDescent="0.25">
      <c r="A49" s="49"/>
      <c r="B49" s="49" t="s">
        <v>171</v>
      </c>
      <c r="C49" s="13">
        <v>2</v>
      </c>
      <c r="D49" s="12"/>
      <c r="E49" s="136"/>
      <c r="F49" s="136"/>
      <c r="G49" s="136"/>
      <c r="H49" s="136"/>
      <c r="I49" s="136"/>
      <c r="J49" s="136"/>
      <c r="K49" s="136"/>
    </row>
    <row r="50" spans="1:11" ht="25" hidden="1" x14ac:dyDescent="0.25">
      <c r="A50" s="49"/>
      <c r="B50" s="49" t="s">
        <v>172</v>
      </c>
      <c r="C50" s="13">
        <v>2</v>
      </c>
      <c r="D50" s="12"/>
      <c r="E50" s="136"/>
      <c r="F50" s="136"/>
      <c r="G50" s="136"/>
      <c r="H50" s="136"/>
      <c r="I50" s="136"/>
      <c r="J50" s="136"/>
      <c r="K50" s="136"/>
    </row>
    <row r="51" spans="1:11" hidden="1" x14ac:dyDescent="0.25">
      <c r="A51" s="49"/>
      <c r="B51" s="49" t="s">
        <v>169</v>
      </c>
      <c r="C51" s="13">
        <v>2</v>
      </c>
      <c r="D51" s="12"/>
      <c r="E51" s="136"/>
      <c r="F51" s="136"/>
      <c r="G51" s="136"/>
      <c r="H51" s="136"/>
      <c r="I51" s="136"/>
      <c r="J51" s="136"/>
      <c r="K51" s="136"/>
    </row>
    <row r="52" spans="1:11" ht="13" hidden="1" x14ac:dyDescent="0.25">
      <c r="A52" s="57" t="s">
        <v>173</v>
      </c>
      <c r="B52" s="52"/>
      <c r="C52" s="53"/>
      <c r="D52" s="54"/>
      <c r="E52" s="139"/>
      <c r="F52" s="139"/>
      <c r="G52" s="139"/>
      <c r="H52" s="139"/>
      <c r="I52" s="139"/>
      <c r="J52" s="139"/>
      <c r="K52" s="140"/>
    </row>
    <row r="53" spans="1:11" ht="25" hidden="1" x14ac:dyDescent="0.25">
      <c r="A53" s="49"/>
      <c r="B53" s="49" t="s">
        <v>174</v>
      </c>
      <c r="C53" s="13">
        <v>2</v>
      </c>
      <c r="D53" s="12"/>
      <c r="E53" s="136"/>
      <c r="F53" s="136"/>
      <c r="G53" s="136"/>
      <c r="H53" s="136"/>
      <c r="I53" s="136"/>
      <c r="J53" s="136"/>
      <c r="K53" s="136"/>
    </row>
    <row r="54" spans="1:11" ht="13" hidden="1" x14ac:dyDescent="0.25">
      <c r="A54" s="57" t="s">
        <v>175</v>
      </c>
      <c r="B54" s="52"/>
      <c r="C54" s="53"/>
      <c r="D54" s="54"/>
      <c r="E54" s="139"/>
      <c r="F54" s="139"/>
      <c r="G54" s="139"/>
      <c r="H54" s="139"/>
      <c r="I54" s="139"/>
      <c r="J54" s="139"/>
      <c r="K54" s="140"/>
    </row>
    <row r="55" spans="1:11" ht="25" hidden="1" x14ac:dyDescent="0.25">
      <c r="A55" s="49"/>
      <c r="B55" s="49" t="s">
        <v>188</v>
      </c>
      <c r="C55" s="13">
        <v>0</v>
      </c>
      <c r="D55" s="12"/>
      <c r="E55" s="136"/>
      <c r="F55" s="136"/>
      <c r="G55" s="136"/>
      <c r="H55" s="136"/>
      <c r="I55" s="136"/>
      <c r="J55" s="136"/>
      <c r="K55" s="136"/>
    </row>
    <row r="56" spans="1:11" hidden="1" x14ac:dyDescent="0.25">
      <c r="A56" s="59" t="s">
        <v>176</v>
      </c>
      <c r="B56" s="50"/>
      <c r="C56" s="11">
        <v>0</v>
      </c>
      <c r="D56" s="48"/>
      <c r="E56" s="149"/>
      <c r="F56" s="150"/>
      <c r="G56" s="150"/>
      <c r="H56" s="150"/>
      <c r="I56" s="150"/>
      <c r="J56" s="150"/>
      <c r="K56" s="151"/>
    </row>
    <row r="57" spans="1:11" hidden="1" x14ac:dyDescent="0.25">
      <c r="A57" s="49"/>
      <c r="B57" s="51"/>
      <c r="C57" s="13">
        <v>0</v>
      </c>
      <c r="D57" s="12"/>
      <c r="E57" s="56"/>
      <c r="F57" s="54"/>
      <c r="G57" s="54"/>
      <c r="H57" s="54"/>
      <c r="I57" s="54"/>
      <c r="J57" s="54"/>
      <c r="K57" s="55"/>
    </row>
    <row r="58" spans="1:11" hidden="1" x14ac:dyDescent="0.25">
      <c r="A58" s="49"/>
      <c r="B58" s="51"/>
      <c r="C58" s="13"/>
      <c r="D58" s="12"/>
      <c r="E58" s="56"/>
      <c r="F58" s="54"/>
      <c r="G58" s="54"/>
      <c r="H58" s="54"/>
      <c r="I58" s="54"/>
      <c r="J58" s="54"/>
      <c r="K58" s="55"/>
    </row>
    <row r="59" spans="1:11" hidden="1" x14ac:dyDescent="0.25">
      <c r="A59" s="2"/>
      <c r="B59" s="14" t="s">
        <v>32</v>
      </c>
      <c r="C59" s="14">
        <f>SUM(C42:C53)</f>
        <v>18</v>
      </c>
      <c r="D59" s="12">
        <f>SUM(D42:D55)</f>
        <v>0</v>
      </c>
      <c r="E59" s="136"/>
      <c r="F59" s="136"/>
      <c r="G59" s="136"/>
      <c r="H59" s="136"/>
      <c r="I59" s="136"/>
      <c r="J59" s="136"/>
      <c r="K59" s="136"/>
    </row>
    <row r="60" spans="1:11" hidden="1" x14ac:dyDescent="0.25"/>
    <row r="61" spans="1:11" s="32" customFormat="1" ht="111.75" hidden="1" customHeight="1" thickBot="1" x14ac:dyDescent="0.3">
      <c r="A61" s="148" t="s">
        <v>287</v>
      </c>
      <c r="B61" s="148"/>
      <c r="C61" s="148"/>
      <c r="D61" s="148"/>
      <c r="E61" s="148"/>
      <c r="F61" s="148"/>
      <c r="G61" s="148"/>
      <c r="H61" s="148"/>
    </row>
    <row r="62" spans="1:11" s="1" customFormat="1" ht="12.75" hidden="1" customHeight="1" x14ac:dyDescent="0.25">
      <c r="A62" s="60" t="s">
        <v>179</v>
      </c>
      <c r="B62" s="60"/>
      <c r="C62" s="60"/>
      <c r="D62" s="60"/>
      <c r="E62" s="60"/>
      <c r="F62" s="60"/>
      <c r="G62" s="60"/>
      <c r="H62" s="60"/>
    </row>
    <row r="63" spans="1:11" s="1" customFormat="1" ht="12.75" hidden="1" customHeight="1" x14ac:dyDescent="0.25">
      <c r="A63" s="61" t="s">
        <v>180</v>
      </c>
      <c r="B63" s="61"/>
      <c r="C63" s="61"/>
      <c r="D63" s="61"/>
      <c r="E63" s="61"/>
      <c r="F63" s="61"/>
      <c r="G63" s="61"/>
      <c r="H63" s="61"/>
    </row>
    <row r="64" spans="1:11" s="1" customFormat="1" ht="12.75" hidden="1" customHeight="1" x14ac:dyDescent="0.25">
      <c r="A64" s="61" t="s">
        <v>181</v>
      </c>
      <c r="B64" s="61"/>
      <c r="C64" s="61"/>
      <c r="D64" s="61"/>
      <c r="E64" s="61"/>
      <c r="F64" s="61"/>
      <c r="G64" s="61"/>
      <c r="H64" s="61"/>
    </row>
    <row r="65" spans="1:9" s="1" customFormat="1" ht="12.75" hidden="1" customHeight="1" x14ac:dyDescent="0.25">
      <c r="A65" s="61" t="s">
        <v>197</v>
      </c>
      <c r="B65" s="61"/>
      <c r="C65" s="61"/>
      <c r="D65" s="61"/>
      <c r="E65" s="61"/>
      <c r="F65" s="61"/>
      <c r="G65" s="61"/>
      <c r="H65" s="61"/>
    </row>
    <row r="66" spans="1:9" s="1" customFormat="1" ht="12.75" hidden="1" customHeight="1" x14ac:dyDescent="0.25">
      <c r="A66" s="61" t="s">
        <v>182</v>
      </c>
      <c r="B66" s="61"/>
      <c r="C66" s="61"/>
      <c r="D66" s="61"/>
      <c r="E66" s="61"/>
      <c r="F66" s="61"/>
      <c r="G66" s="61"/>
      <c r="H66" s="61"/>
    </row>
    <row r="67" spans="1:9" s="1" customFormat="1" ht="12.75" hidden="1" customHeight="1" x14ac:dyDescent="0.25">
      <c r="A67" s="61" t="s">
        <v>183</v>
      </c>
      <c r="B67" s="61"/>
      <c r="C67" s="61"/>
      <c r="D67" s="61"/>
      <c r="E67" s="61"/>
      <c r="F67" s="61"/>
      <c r="G67" s="61"/>
      <c r="H67" s="61"/>
    </row>
    <row r="68" spans="1:9" s="1" customFormat="1" ht="12.75" hidden="1" customHeight="1" x14ac:dyDescent="0.25">
      <c r="A68" s="61" t="s">
        <v>60</v>
      </c>
      <c r="B68" s="61"/>
      <c r="C68" s="61"/>
      <c r="D68" s="61"/>
      <c r="E68" s="61"/>
      <c r="F68" s="61"/>
      <c r="G68" s="61"/>
      <c r="H68" s="61"/>
    </row>
    <row r="69" spans="1:9" s="1" customFormat="1" ht="12.75" hidden="1" customHeight="1" x14ac:dyDescent="0.25">
      <c r="A69" s="61" t="s">
        <v>197</v>
      </c>
      <c r="B69" s="61"/>
      <c r="C69" s="61"/>
      <c r="D69" s="61"/>
      <c r="E69" s="61"/>
      <c r="F69" s="61"/>
      <c r="G69" s="61"/>
      <c r="H69" s="61"/>
    </row>
    <row r="70" spans="1:9" s="1" customFormat="1" ht="12.75" hidden="1" customHeight="1" thickBot="1" x14ac:dyDescent="0.3">
      <c r="A70" s="61"/>
      <c r="B70" s="61"/>
      <c r="C70" s="61"/>
      <c r="D70" s="61"/>
      <c r="E70" s="61"/>
      <c r="F70" s="61"/>
      <c r="G70" s="61"/>
      <c r="H70" s="61"/>
    </row>
    <row r="71" spans="1:9" s="32" customFormat="1" ht="13" x14ac:dyDescent="0.3">
      <c r="A71" s="153" t="s">
        <v>131</v>
      </c>
      <c r="B71" s="153"/>
      <c r="C71" s="153"/>
      <c r="D71" s="153"/>
      <c r="E71" s="153"/>
      <c r="F71" s="153"/>
      <c r="G71" s="153"/>
      <c r="H71" s="153"/>
    </row>
    <row r="72" spans="1:9" s="32" customFormat="1" x14ac:dyDescent="0.25">
      <c r="B72" s="32" t="s">
        <v>132</v>
      </c>
      <c r="C72" s="34" t="s">
        <v>133</v>
      </c>
      <c r="D72" s="34" t="s">
        <v>134</v>
      </c>
      <c r="E72" s="34" t="s">
        <v>135</v>
      </c>
      <c r="F72" s="34" t="s">
        <v>136</v>
      </c>
      <c r="G72" s="34" t="s">
        <v>137</v>
      </c>
      <c r="H72" s="34" t="s">
        <v>177</v>
      </c>
      <c r="I72" s="34"/>
    </row>
    <row r="73" spans="1:9" s="32" customFormat="1" x14ac:dyDescent="0.25">
      <c r="B73" s="32" t="s">
        <v>53</v>
      </c>
      <c r="C73" s="73"/>
      <c r="D73" s="73"/>
      <c r="E73" s="73"/>
      <c r="F73" s="73"/>
      <c r="G73" s="73"/>
      <c r="H73" s="27"/>
    </row>
    <row r="74" spans="1:9" s="32" customFormat="1" x14ac:dyDescent="0.25">
      <c r="B74" s="32" t="s">
        <v>30</v>
      </c>
      <c r="C74" s="73"/>
      <c r="D74" s="74"/>
      <c r="E74" s="73"/>
      <c r="F74" s="73"/>
      <c r="G74" s="73"/>
      <c r="H74" s="27"/>
    </row>
    <row r="75" spans="1:9" s="32" customFormat="1" x14ac:dyDescent="0.25">
      <c r="B75" s="32" t="s">
        <v>138</v>
      </c>
      <c r="C75" s="73"/>
      <c r="D75" s="73"/>
      <c r="E75" s="73"/>
      <c r="F75" s="73"/>
      <c r="G75" s="73"/>
      <c r="H75" s="27"/>
    </row>
    <row r="76" spans="1:9" s="32" customFormat="1" x14ac:dyDescent="0.25">
      <c r="B76" s="32" t="s">
        <v>54</v>
      </c>
      <c r="C76" s="73"/>
      <c r="D76" s="73"/>
      <c r="E76" s="73"/>
      <c r="F76" s="73"/>
      <c r="G76" s="73"/>
      <c r="H76" s="27"/>
    </row>
    <row r="77" spans="1:9" s="32" customFormat="1" x14ac:dyDescent="0.25">
      <c r="B77" s="32" t="s">
        <v>139</v>
      </c>
      <c r="C77" s="73"/>
      <c r="D77" s="73"/>
      <c r="E77" s="73"/>
      <c r="F77" s="73"/>
      <c r="G77" s="73"/>
      <c r="H77" s="27"/>
    </row>
    <row r="78" spans="1:9" s="32" customFormat="1" x14ac:dyDescent="0.25">
      <c r="B78" s="32" t="s">
        <v>56</v>
      </c>
      <c r="C78" s="73"/>
      <c r="D78" s="73"/>
      <c r="E78" s="73"/>
      <c r="F78" s="73"/>
      <c r="G78" s="73"/>
      <c r="H78" s="27"/>
    </row>
    <row r="79" spans="1:9" s="32" customFormat="1" ht="13" x14ac:dyDescent="0.3">
      <c r="A79" s="152" t="s">
        <v>45</v>
      </c>
      <c r="B79" s="152"/>
      <c r="C79" s="152"/>
      <c r="D79" s="152"/>
      <c r="E79" s="152"/>
      <c r="F79" s="152"/>
      <c r="G79" s="152"/>
      <c r="H79" s="152"/>
    </row>
    <row r="80" spans="1:9" s="32" customFormat="1" x14ac:dyDescent="0.25">
      <c r="B80" s="32" t="s">
        <v>140</v>
      </c>
      <c r="H80" s="73"/>
      <c r="I80" s="32" t="s">
        <v>192</v>
      </c>
    </row>
    <row r="81" spans="1:9" s="32" customFormat="1" x14ac:dyDescent="0.25">
      <c r="B81" s="32" t="s">
        <v>141</v>
      </c>
      <c r="H81" s="73"/>
      <c r="I81" s="32" t="s">
        <v>192</v>
      </c>
    </row>
    <row r="82" spans="1:9" s="32" customFormat="1" x14ac:dyDescent="0.25">
      <c r="B82" s="32" t="s">
        <v>142</v>
      </c>
      <c r="E82" s="32" t="s">
        <v>143</v>
      </c>
      <c r="H82" s="73"/>
      <c r="I82" s="32" t="s">
        <v>192</v>
      </c>
    </row>
    <row r="83" spans="1:9" s="32" customFormat="1" ht="15.5" x14ac:dyDescent="0.4">
      <c r="B83" s="32" t="s">
        <v>144</v>
      </c>
      <c r="E83" s="32" t="s">
        <v>145</v>
      </c>
      <c r="H83" s="73"/>
    </row>
    <row r="84" spans="1:9" s="32" customFormat="1" ht="15.5" x14ac:dyDescent="0.4">
      <c r="B84" s="32" t="s">
        <v>144</v>
      </c>
      <c r="E84" s="32" t="s">
        <v>146</v>
      </c>
      <c r="H84" s="73"/>
    </row>
    <row r="85" spans="1:9" s="32" customFormat="1" ht="15.5" x14ac:dyDescent="0.4">
      <c r="B85" s="32" t="s">
        <v>51</v>
      </c>
      <c r="E85" s="32" t="s">
        <v>147</v>
      </c>
      <c r="H85" s="78"/>
      <c r="I85" s="32" t="s">
        <v>192</v>
      </c>
    </row>
    <row r="86" spans="1:9" s="32" customFormat="1" x14ac:dyDescent="0.25">
      <c r="B86" s="32" t="s">
        <v>52</v>
      </c>
      <c r="E86" s="32" t="s">
        <v>148</v>
      </c>
      <c r="H86" s="78"/>
      <c r="I86" s="32" t="s">
        <v>192</v>
      </c>
    </row>
    <row r="87" spans="1:9" s="32" customFormat="1" ht="15.5" x14ac:dyDescent="0.4">
      <c r="B87" s="32" t="s">
        <v>149</v>
      </c>
      <c r="E87" s="32" t="s">
        <v>150</v>
      </c>
      <c r="H87" s="73"/>
      <c r="I87" s="32" t="s">
        <v>192</v>
      </c>
    </row>
    <row r="88" spans="1:9" s="32" customFormat="1" ht="15.5" x14ac:dyDescent="0.4">
      <c r="B88" s="32" t="s">
        <v>151</v>
      </c>
      <c r="E88" s="32" t="s">
        <v>152</v>
      </c>
      <c r="H88" s="73"/>
      <c r="I88" s="32" t="s">
        <v>192</v>
      </c>
    </row>
    <row r="89" spans="1:9" s="32" customFormat="1" ht="15.5" x14ac:dyDescent="0.4">
      <c r="B89" s="32" t="s">
        <v>153</v>
      </c>
      <c r="E89" s="32" t="s">
        <v>154</v>
      </c>
      <c r="H89" s="73"/>
      <c r="I89" s="32" t="s">
        <v>192</v>
      </c>
    </row>
    <row r="90" spans="1:9" s="32" customFormat="1" ht="13" x14ac:dyDescent="0.3">
      <c r="A90" s="152" t="s">
        <v>155</v>
      </c>
      <c r="B90" s="152"/>
      <c r="C90" s="152"/>
      <c r="D90" s="152"/>
      <c r="E90" s="152"/>
      <c r="F90" s="152"/>
      <c r="G90" s="152"/>
      <c r="H90" s="152"/>
    </row>
    <row r="91" spans="1:9" s="32" customFormat="1" ht="15.75" customHeight="1" x14ac:dyDescent="0.25">
      <c r="B91" s="32" t="s">
        <v>60</v>
      </c>
      <c r="E91" s="32" t="s">
        <v>156</v>
      </c>
      <c r="H91" s="73"/>
      <c r="I91" s="33" t="s">
        <v>193</v>
      </c>
    </row>
    <row r="92" spans="1:9" s="32" customFormat="1" ht="16.5" customHeight="1" x14ac:dyDescent="0.25">
      <c r="B92" s="32" t="s">
        <v>194</v>
      </c>
      <c r="E92" s="35" t="s">
        <v>178</v>
      </c>
      <c r="F92" s="27"/>
      <c r="G92" s="2"/>
      <c r="H92" s="78"/>
      <c r="I92" s="33" t="s">
        <v>195</v>
      </c>
    </row>
    <row r="93" spans="1:9" s="32" customFormat="1" ht="15.5" x14ac:dyDescent="0.4">
      <c r="B93" s="32" t="s">
        <v>157</v>
      </c>
      <c r="E93" s="32" t="s">
        <v>158</v>
      </c>
      <c r="H93" s="78"/>
      <c r="I93" s="33" t="s">
        <v>195</v>
      </c>
    </row>
    <row r="94" spans="1:9" s="32" customFormat="1" ht="15.5" x14ac:dyDescent="0.4">
      <c r="B94" s="32" t="s">
        <v>159</v>
      </c>
      <c r="E94" s="32" t="s">
        <v>160</v>
      </c>
      <c r="H94" s="78"/>
      <c r="I94" s="33" t="s">
        <v>195</v>
      </c>
    </row>
    <row r="95" spans="1:9" s="32" customFormat="1" ht="15.5" x14ac:dyDescent="0.4">
      <c r="B95" s="32" t="s">
        <v>161</v>
      </c>
      <c r="E95" s="32" t="s">
        <v>162</v>
      </c>
      <c r="H95" s="78"/>
      <c r="I95" s="33" t="s">
        <v>195</v>
      </c>
    </row>
    <row r="96" spans="1:9" s="32" customFormat="1" ht="13" x14ac:dyDescent="0.3">
      <c r="A96" s="152" t="s">
        <v>196</v>
      </c>
      <c r="B96" s="152"/>
      <c r="C96" s="152"/>
      <c r="D96" s="152"/>
      <c r="E96" s="152"/>
      <c r="F96" s="152"/>
      <c r="G96" s="152"/>
      <c r="H96" s="152"/>
    </row>
    <row r="97" spans="2:7" s="32" customFormat="1" x14ac:dyDescent="0.25">
      <c r="B97" s="32" t="s">
        <v>21</v>
      </c>
      <c r="C97" s="78"/>
      <c r="D97" s="2" t="s">
        <v>195</v>
      </c>
      <c r="E97" s="2"/>
      <c r="F97" s="2"/>
      <c r="G97" s="2"/>
    </row>
    <row r="98" spans="2:7" s="32" customFormat="1" x14ac:dyDescent="0.25">
      <c r="B98" s="32" t="s">
        <v>22</v>
      </c>
      <c r="C98" s="78"/>
      <c r="D98" s="2" t="s">
        <v>195</v>
      </c>
      <c r="E98" s="2"/>
      <c r="F98" s="2"/>
      <c r="G98" s="2"/>
    </row>
    <row r="99" spans="2:7" s="32" customFormat="1" x14ac:dyDescent="0.25">
      <c r="B99" s="32" t="s">
        <v>23</v>
      </c>
      <c r="C99" s="78"/>
      <c r="D99" s="2" t="s">
        <v>195</v>
      </c>
      <c r="E99" s="2"/>
      <c r="F99" s="2"/>
      <c r="G99" s="2"/>
    </row>
    <row r="100" spans="2:7" s="32" customFormat="1" x14ac:dyDescent="0.25">
      <c r="B100" s="32" t="s">
        <v>24</v>
      </c>
      <c r="C100" s="78"/>
      <c r="D100" s="2" t="s">
        <v>195</v>
      </c>
      <c r="E100" s="2"/>
      <c r="F100" s="2"/>
      <c r="G100" s="2"/>
    </row>
    <row r="101" spans="2:7" s="32" customFormat="1" x14ac:dyDescent="0.25">
      <c r="B101" s="32" t="s">
        <v>25</v>
      </c>
      <c r="C101" s="78"/>
      <c r="D101" s="2" t="s">
        <v>195</v>
      </c>
      <c r="E101" s="2"/>
      <c r="F101" s="2"/>
      <c r="G101" s="2"/>
    </row>
    <row r="102" spans="2:7" s="32" customFormat="1" x14ac:dyDescent="0.25">
      <c r="B102" s="32" t="s">
        <v>26</v>
      </c>
      <c r="C102" s="78"/>
      <c r="D102" s="2" t="s">
        <v>195</v>
      </c>
      <c r="E102" s="2"/>
      <c r="F102" s="2"/>
      <c r="G102" s="2"/>
    </row>
    <row r="103" spans="2:7" s="32" customFormat="1" x14ac:dyDescent="0.25">
      <c r="B103" s="32" t="s">
        <v>117</v>
      </c>
      <c r="C103" s="78"/>
      <c r="D103" s="2" t="s">
        <v>195</v>
      </c>
      <c r="E103" s="2"/>
      <c r="F103" s="2"/>
      <c r="G103" s="2"/>
    </row>
  </sheetData>
  <mergeCells count="29">
    <mergeCell ref="E53:K53"/>
    <mergeCell ref="E46:K46"/>
    <mergeCell ref="E47:K47"/>
    <mergeCell ref="E52:K52"/>
    <mergeCell ref="A96:H96"/>
    <mergeCell ref="A71:H71"/>
    <mergeCell ref="A79:H79"/>
    <mergeCell ref="A90:H90"/>
    <mergeCell ref="E48:K48"/>
    <mergeCell ref="E49:K49"/>
    <mergeCell ref="E50:K50"/>
    <mergeCell ref="E51:K51"/>
    <mergeCell ref="A61:H61"/>
    <mergeCell ref="E59:K59"/>
    <mergeCell ref="E55:K55"/>
    <mergeCell ref="E56:K56"/>
    <mergeCell ref="E54:K54"/>
    <mergeCell ref="A5:B7"/>
    <mergeCell ref="C7:D7"/>
    <mergeCell ref="A1:G1"/>
    <mergeCell ref="E45:K45"/>
    <mergeCell ref="E41:K41"/>
    <mergeCell ref="E42:K42"/>
    <mergeCell ref="E43:K43"/>
    <mergeCell ref="E44:K44"/>
    <mergeCell ref="C2:E2"/>
    <mergeCell ref="C3:E3"/>
    <mergeCell ref="C4:E4"/>
    <mergeCell ref="E40:K40"/>
  </mergeCells>
  <phoneticPr fontId="0" type="noConversion"/>
  <dataValidations count="4">
    <dataValidation type="list" allowBlank="1" showInputMessage="1" showErrorMessage="1" sqref="C7" xr:uid="{00000000-0002-0000-0100-000000000000}">
      <formula1>$B$89:$B$90</formula1>
    </dataValidation>
    <dataValidation type="list" allowBlank="1" showInputMessage="1" showErrorMessage="1" sqref="G92" xr:uid="{00000000-0002-0000-0100-000001000000}">
      <formula1>$B$42:$B$44</formula1>
    </dataValidation>
    <dataValidation type="list" allowBlank="1" showInputMessage="1" showErrorMessage="1" sqref="F92" xr:uid="{00000000-0002-0000-0100-000002000000}">
      <formula1>$A$66:$A$69</formula1>
    </dataValidation>
    <dataValidation type="list" allowBlank="1" showInputMessage="1" showErrorMessage="1" sqref="H73:H78" xr:uid="{00000000-0002-0000-0100-000003000000}">
      <formula1>$A$63:$A$65</formula1>
    </dataValidation>
  </dataValidations>
  <hyperlinks>
    <hyperlink ref="A15" location="InstructorAssessment4A" display="go to " xr:uid="{00000000-0004-0000-0100-000000000000}"/>
    <hyperlink ref="A16" location="ProjectPlanSummary4A" display="go to " xr:uid="{00000000-0004-0000-0100-000001000000}"/>
    <hyperlink ref="A17" location="TimeLog4A" display="go to " xr:uid="{00000000-0004-0000-0100-000002000000}"/>
    <hyperlink ref="A18" location="DefectLog4A" display="go to " xr:uid="{00000000-0004-0000-0100-000003000000}"/>
    <hyperlink ref="A24" location="TestReport4A" display="go to " xr:uid="{00000000-0004-0000-0100-000004000000}"/>
    <hyperlink ref="A25" location="LessonLearned4A" display="go to " xr:uid="{00000000-0004-0000-0100-000005000000}"/>
    <hyperlink ref="A37" location="SourceCode4A" display="go to " xr:uid="{00000000-0004-0000-0100-000006000000}"/>
    <hyperlink ref="A19" location="SizeEstimate4A" display="go to " xr:uid="{00000000-0004-0000-0100-000007000000}"/>
    <hyperlink ref="A20" location="TaskPlan6A" display="go to" xr:uid="{00000000-0004-0000-0100-000008000000}"/>
    <hyperlink ref="A21" location="Schedule6A" display="go to" xr:uid="{00000000-0004-0000-0100-000009000000}"/>
    <hyperlink ref="A22" location="OperationalSpecification6A" display="go to" xr:uid="{00000000-0004-0000-0100-00000A000000}"/>
    <hyperlink ref="A23" location="FunctionalSpecification6A" display="go to" xr:uid="{00000000-0004-0000-0100-00000B000000}"/>
  </hyperlinks>
  <pageMargins left="0.75" right="0.75" top="1" bottom="1" header="0.5" footer="0.5"/>
  <pageSetup scale="47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autoPageBreaks="0" fitToPage="1"/>
  </sheetPr>
  <dimension ref="A1:I18"/>
  <sheetViews>
    <sheetView showGridLines="0" zoomScaleNormal="100" workbookViewId="0">
      <selection activeCell="I4" sqref="I4"/>
    </sheetView>
  </sheetViews>
  <sheetFormatPr defaultRowHeight="13" x14ac:dyDescent="0.3"/>
  <cols>
    <col min="1" max="1" width="17.453125" style="21" customWidth="1"/>
    <col min="2" max="2" width="11" bestFit="1" customWidth="1"/>
    <col min="3" max="3" width="10.1796875" customWidth="1"/>
    <col min="4" max="4" width="11.26953125" customWidth="1"/>
    <col min="5" max="5" width="11.54296875" customWidth="1"/>
    <col min="6" max="6" width="12.453125" customWidth="1"/>
    <col min="7" max="7" width="10.453125" customWidth="1"/>
    <col min="8" max="8" width="10.7265625" customWidth="1"/>
    <col min="11" max="11" width="11.7265625" customWidth="1"/>
  </cols>
  <sheetData>
    <row r="1" spans="1:9" ht="20" x14ac:dyDescent="0.4">
      <c r="A1" s="155" t="s">
        <v>380</v>
      </c>
      <c r="B1" s="155"/>
      <c r="C1" s="155"/>
      <c r="D1" s="155"/>
      <c r="E1" s="155"/>
      <c r="F1" s="155"/>
      <c r="G1" s="155"/>
    </row>
    <row r="3" spans="1:9" x14ac:dyDescent="0.3">
      <c r="A3" s="18" t="s">
        <v>0</v>
      </c>
      <c r="B3" s="16">
        <v>6</v>
      </c>
    </row>
    <row r="4" spans="1:9" x14ac:dyDescent="0.3">
      <c r="A4" s="18" t="s">
        <v>370</v>
      </c>
      <c r="B4" s="6">
        <v>44667</v>
      </c>
      <c r="C4" s="6" t="s">
        <v>372</v>
      </c>
    </row>
    <row r="5" spans="1:9" x14ac:dyDescent="0.3">
      <c r="A5" s="18"/>
      <c r="B5" s="6"/>
      <c r="C5" s="6"/>
    </row>
    <row r="6" spans="1:9" x14ac:dyDescent="0.3">
      <c r="A6" s="21" t="s">
        <v>64</v>
      </c>
      <c r="B6" s="28" t="str">
        <f>CONCATENATE(B3,".xls")</f>
        <v>6.xls</v>
      </c>
    </row>
    <row r="7" spans="1:9" x14ac:dyDescent="0.3">
      <c r="A7" s="18"/>
    </row>
    <row r="8" spans="1:9" x14ac:dyDescent="0.3">
      <c r="A8" s="18" t="s">
        <v>38</v>
      </c>
      <c r="B8" s="156" t="s">
        <v>68</v>
      </c>
      <c r="C8" s="156"/>
      <c r="D8" s="156"/>
      <c r="E8" s="156"/>
      <c r="F8" s="156"/>
      <c r="G8" s="156"/>
      <c r="H8" s="156"/>
      <c r="I8" s="156"/>
    </row>
    <row r="9" spans="1:9" x14ac:dyDescent="0.3">
      <c r="A9" s="18"/>
      <c r="B9" s="36"/>
      <c r="C9" s="36"/>
      <c r="D9" s="36"/>
      <c r="E9" s="36"/>
      <c r="F9" s="36"/>
      <c r="G9" s="36"/>
      <c r="H9" s="36"/>
      <c r="I9" s="36"/>
    </row>
    <row r="10" spans="1:9" ht="43.5" customHeight="1" x14ac:dyDescent="0.25">
      <c r="A10" s="19" t="s">
        <v>0</v>
      </c>
      <c r="B10" s="154" t="s">
        <v>69</v>
      </c>
      <c r="C10" s="154"/>
      <c r="D10" s="154"/>
      <c r="E10" s="154"/>
      <c r="F10" s="154"/>
      <c r="G10" s="154"/>
      <c r="H10" s="154"/>
      <c r="I10" s="154"/>
    </row>
    <row r="11" spans="1:9" ht="12.75" customHeight="1" x14ac:dyDescent="0.3">
      <c r="A11" s="18" t="s">
        <v>70</v>
      </c>
      <c r="B11" s="154" t="s">
        <v>39</v>
      </c>
      <c r="C11" s="154"/>
      <c r="D11" s="154"/>
      <c r="E11" s="154"/>
      <c r="F11" s="154"/>
      <c r="G11" s="154"/>
      <c r="H11" s="154"/>
      <c r="I11" s="154"/>
    </row>
    <row r="12" spans="1:9" x14ac:dyDescent="0.3">
      <c r="A12" s="18"/>
      <c r="C12" s="17"/>
      <c r="D12" s="17"/>
      <c r="E12" s="30"/>
      <c r="F12" s="30"/>
      <c r="G12" s="30"/>
      <c r="H12" s="30"/>
      <c r="I12" s="17"/>
    </row>
    <row r="13" spans="1:9" ht="12" customHeight="1" x14ac:dyDescent="0.25">
      <c r="A13" s="19" t="s">
        <v>40</v>
      </c>
      <c r="B13" s="157" t="s">
        <v>186</v>
      </c>
      <c r="C13" s="154"/>
      <c r="D13" s="154"/>
      <c r="E13" s="154"/>
      <c r="F13" s="154"/>
      <c r="G13" s="154"/>
      <c r="H13" s="154"/>
      <c r="I13" s="154"/>
    </row>
    <row r="14" spans="1:9" ht="12" customHeight="1" x14ac:dyDescent="0.25">
      <c r="A14" s="19"/>
      <c r="B14" s="158" t="s">
        <v>377</v>
      </c>
      <c r="C14" s="154"/>
      <c r="D14" s="154"/>
      <c r="E14" s="154"/>
      <c r="F14" s="154"/>
      <c r="G14" s="154"/>
      <c r="H14" s="154"/>
      <c r="I14" s="154"/>
    </row>
    <row r="15" spans="1:9" ht="12.75" customHeight="1" x14ac:dyDescent="0.25">
      <c r="A15" s="19"/>
      <c r="B15" s="154" t="s">
        <v>187</v>
      </c>
      <c r="C15" s="154"/>
      <c r="D15" s="154"/>
      <c r="E15" s="154"/>
      <c r="F15" s="154"/>
      <c r="G15" s="154"/>
      <c r="H15" s="154"/>
      <c r="I15" s="154"/>
    </row>
    <row r="16" spans="1:9" ht="12.75" customHeight="1" x14ac:dyDescent="0.25">
      <c r="A16" s="22"/>
      <c r="B16" s="154" t="s">
        <v>371</v>
      </c>
      <c r="C16" s="154"/>
      <c r="D16" s="154"/>
      <c r="E16" s="154"/>
      <c r="F16" s="154"/>
      <c r="G16" s="154"/>
    </row>
    <row r="17" spans="1:9" ht="12.75" customHeight="1" x14ac:dyDescent="0.25">
      <c r="A17" s="22"/>
      <c r="B17" s="15"/>
      <c r="C17" s="15"/>
      <c r="D17" s="15"/>
      <c r="E17" s="15"/>
      <c r="F17" s="15"/>
      <c r="G17" s="15"/>
    </row>
    <row r="18" spans="1:9" s="23" customFormat="1" ht="49.5" customHeight="1" x14ac:dyDescent="0.25">
      <c r="A18" s="20"/>
      <c r="B18" s="154"/>
      <c r="C18" s="154"/>
      <c r="D18" s="154"/>
      <c r="E18" s="154"/>
      <c r="F18" s="154"/>
      <c r="G18" s="154"/>
      <c r="H18" s="154"/>
      <c r="I18" s="154"/>
    </row>
  </sheetData>
  <sheetProtection password="CB8C" sheet="1"/>
  <mergeCells count="9">
    <mergeCell ref="B10:I10"/>
    <mergeCell ref="B11:I11"/>
    <mergeCell ref="B18:I18"/>
    <mergeCell ref="A1:G1"/>
    <mergeCell ref="B8:I8"/>
    <mergeCell ref="B16:G16"/>
    <mergeCell ref="B13:I13"/>
    <mergeCell ref="B15:I15"/>
    <mergeCell ref="B14:I14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L124"/>
  <sheetViews>
    <sheetView showGridLines="0" topLeftCell="A31" workbookViewId="0">
      <selection activeCell="P47" sqref="P47"/>
    </sheetView>
  </sheetViews>
  <sheetFormatPr defaultRowHeight="12.5" x14ac:dyDescent="0.25"/>
  <cols>
    <col min="2" max="2" width="14.7265625" customWidth="1"/>
    <col min="4" max="4" width="18.26953125" customWidth="1"/>
  </cols>
  <sheetData>
    <row r="1" spans="1:12" ht="20" x14ac:dyDescent="0.4">
      <c r="A1" s="165" t="s">
        <v>228</v>
      </c>
      <c r="B1" s="165"/>
    </row>
    <row r="2" spans="1:12" s="85" customFormat="1" x14ac:dyDescent="0.25">
      <c r="A2" s="169" t="s">
        <v>229</v>
      </c>
      <c r="B2" s="169"/>
      <c r="C2" s="171" t="s">
        <v>279</v>
      </c>
      <c r="D2" s="171"/>
      <c r="E2" s="171"/>
      <c r="F2" s="171"/>
      <c r="G2" s="171"/>
      <c r="H2" s="171"/>
      <c r="I2" s="171"/>
      <c r="J2" s="171"/>
      <c r="K2" s="171"/>
      <c r="L2" s="171"/>
    </row>
    <row r="3" spans="1:12" s="85" customFormat="1" ht="12.75" customHeight="1" x14ac:dyDescent="0.25">
      <c r="A3" s="172" t="s">
        <v>230</v>
      </c>
      <c r="B3" s="173"/>
      <c r="C3" s="161" t="s">
        <v>270</v>
      </c>
      <c r="D3" s="159"/>
      <c r="E3" s="159"/>
      <c r="F3" s="159"/>
      <c r="G3" s="159"/>
      <c r="H3" s="159"/>
      <c r="I3" s="159"/>
      <c r="J3" s="159"/>
      <c r="K3" s="159"/>
      <c r="L3" s="160"/>
    </row>
    <row r="4" spans="1:12" s="85" customFormat="1" ht="12.75" customHeight="1" x14ac:dyDescent="0.25">
      <c r="A4" s="174"/>
      <c r="B4" s="175"/>
      <c r="C4" s="86"/>
      <c r="D4" s="159" t="s">
        <v>255</v>
      </c>
      <c r="E4" s="159"/>
      <c r="F4" s="159"/>
      <c r="G4" s="159"/>
      <c r="H4" s="159"/>
      <c r="I4" s="159"/>
      <c r="J4" s="159"/>
      <c r="K4" s="159"/>
      <c r="L4" s="160"/>
    </row>
    <row r="5" spans="1:12" s="85" customFormat="1" ht="12.75" customHeight="1" x14ac:dyDescent="0.25">
      <c r="A5" s="174"/>
      <c r="B5" s="175"/>
      <c r="C5" s="86"/>
      <c r="D5" s="159" t="s">
        <v>254</v>
      </c>
      <c r="E5" s="159"/>
      <c r="F5" s="159"/>
      <c r="G5" s="159"/>
      <c r="H5" s="159"/>
      <c r="I5" s="159"/>
      <c r="J5" s="159"/>
      <c r="K5" s="159"/>
      <c r="L5" s="160"/>
    </row>
    <row r="6" spans="1:12" s="85" customFormat="1" ht="12.75" customHeight="1" x14ac:dyDescent="0.25">
      <c r="A6" s="174"/>
      <c r="B6" s="175"/>
      <c r="C6" s="86"/>
      <c r="D6" s="159" t="s">
        <v>249</v>
      </c>
      <c r="E6" s="159"/>
      <c r="F6" s="159"/>
      <c r="G6" s="159"/>
      <c r="H6" s="159"/>
      <c r="I6" s="159"/>
      <c r="J6" s="159"/>
      <c r="K6" s="159"/>
      <c r="L6" s="160"/>
    </row>
    <row r="7" spans="1:12" s="85" customFormat="1" ht="12.75" customHeight="1" x14ac:dyDescent="0.25">
      <c r="A7" s="174"/>
      <c r="B7" s="175"/>
      <c r="C7" s="86"/>
      <c r="D7" s="159" t="s">
        <v>256</v>
      </c>
      <c r="E7" s="159"/>
      <c r="F7" s="159"/>
      <c r="G7" s="159"/>
      <c r="H7" s="159"/>
      <c r="I7" s="159"/>
      <c r="J7" s="159"/>
      <c r="K7" s="159"/>
      <c r="L7" s="160"/>
    </row>
    <row r="8" spans="1:12" s="85" customFormat="1" ht="12.75" customHeight="1" x14ac:dyDescent="0.25">
      <c r="A8" s="174"/>
      <c r="B8" s="175"/>
      <c r="C8" s="86"/>
      <c r="D8" s="159" t="s">
        <v>250</v>
      </c>
      <c r="E8" s="159"/>
      <c r="F8" s="159"/>
      <c r="G8" s="159"/>
      <c r="H8" s="159"/>
      <c r="I8" s="159"/>
      <c r="J8" s="159"/>
      <c r="K8" s="159"/>
      <c r="L8" s="160"/>
    </row>
    <row r="9" spans="1:12" s="85" customFormat="1" ht="12.75" customHeight="1" x14ac:dyDescent="0.25">
      <c r="A9" s="174"/>
      <c r="B9" s="175"/>
      <c r="C9" s="86"/>
      <c r="D9" s="159" t="s">
        <v>251</v>
      </c>
      <c r="E9" s="159"/>
      <c r="F9" s="159"/>
      <c r="G9" s="159"/>
      <c r="H9" s="159"/>
      <c r="I9" s="159"/>
      <c r="J9" s="159"/>
      <c r="K9" s="159"/>
      <c r="L9" s="160"/>
    </row>
    <row r="10" spans="1:12" s="85" customFormat="1" ht="12.75" customHeight="1" x14ac:dyDescent="0.25">
      <c r="A10" s="174"/>
      <c r="B10" s="175"/>
      <c r="C10" s="86"/>
      <c r="D10" s="159" t="s">
        <v>252</v>
      </c>
      <c r="E10" s="159"/>
      <c r="F10" s="159"/>
      <c r="G10" s="159"/>
      <c r="H10" s="159"/>
      <c r="I10" s="159"/>
      <c r="J10" s="159"/>
      <c r="K10" s="159"/>
      <c r="L10" s="160"/>
    </row>
    <row r="11" spans="1:12" s="85" customFormat="1" ht="12.75" customHeight="1" x14ac:dyDescent="0.25">
      <c r="A11" s="174"/>
      <c r="B11" s="175"/>
      <c r="C11" s="86"/>
      <c r="D11" s="159" t="s">
        <v>253</v>
      </c>
      <c r="E11" s="159"/>
      <c r="F11" s="159"/>
      <c r="G11" s="159"/>
      <c r="H11" s="159"/>
      <c r="I11" s="159"/>
      <c r="J11" s="159"/>
      <c r="K11" s="159"/>
      <c r="L11" s="160"/>
    </row>
    <row r="12" spans="1:12" s="85" customFormat="1" ht="12.75" customHeight="1" x14ac:dyDescent="0.25">
      <c r="A12" s="174"/>
      <c r="B12" s="175"/>
      <c r="C12" s="86"/>
      <c r="D12" s="159" t="s">
        <v>257</v>
      </c>
      <c r="E12" s="159"/>
      <c r="F12" s="159"/>
      <c r="G12" s="159"/>
      <c r="H12" s="159"/>
      <c r="I12" s="159"/>
      <c r="J12" s="159"/>
      <c r="K12" s="159"/>
      <c r="L12" s="160"/>
    </row>
    <row r="13" spans="1:12" s="85" customFormat="1" ht="12.75" customHeight="1" x14ac:dyDescent="0.25">
      <c r="A13" s="174"/>
      <c r="B13" s="175"/>
      <c r="C13" s="86"/>
      <c r="D13" s="159" t="s">
        <v>258</v>
      </c>
      <c r="E13" s="159"/>
      <c r="F13" s="159"/>
      <c r="G13" s="159"/>
      <c r="H13" s="159"/>
      <c r="I13" s="159"/>
      <c r="J13" s="159"/>
      <c r="K13" s="159"/>
      <c r="L13" s="160"/>
    </row>
    <row r="14" spans="1:12" s="85" customFormat="1" ht="12.75" customHeight="1" x14ac:dyDescent="0.25">
      <c r="A14" s="174"/>
      <c r="B14" s="175"/>
      <c r="C14" s="86"/>
      <c r="D14" s="159" t="s">
        <v>285</v>
      </c>
      <c r="E14" s="159"/>
      <c r="F14" s="159"/>
      <c r="G14" s="159"/>
      <c r="H14" s="159"/>
      <c r="I14" s="159"/>
      <c r="J14" s="159"/>
      <c r="K14" s="159"/>
      <c r="L14" s="160"/>
    </row>
    <row r="15" spans="1:12" s="85" customFormat="1" ht="12.75" customHeight="1" x14ac:dyDescent="0.25">
      <c r="A15" s="174"/>
      <c r="B15" s="175"/>
      <c r="C15" s="161" t="s">
        <v>352</v>
      </c>
      <c r="D15" s="159"/>
      <c r="E15" s="159"/>
      <c r="F15" s="159"/>
      <c r="G15" s="159"/>
      <c r="H15" s="159"/>
      <c r="I15" s="159"/>
      <c r="J15" s="159"/>
      <c r="K15" s="159"/>
      <c r="L15" s="160"/>
    </row>
    <row r="16" spans="1:12" s="85" customFormat="1" ht="12.75" customHeight="1" x14ac:dyDescent="0.25">
      <c r="A16" s="174"/>
      <c r="B16" s="175"/>
      <c r="C16" s="86"/>
      <c r="D16" s="159" t="s">
        <v>353</v>
      </c>
      <c r="E16" s="159"/>
      <c r="F16" s="159"/>
      <c r="G16" s="159"/>
      <c r="H16" s="159"/>
      <c r="I16" s="159"/>
      <c r="J16" s="159"/>
      <c r="K16" s="159"/>
      <c r="L16" s="160"/>
    </row>
    <row r="17" spans="1:12" s="85" customFormat="1" ht="12.75" customHeight="1" x14ac:dyDescent="0.25">
      <c r="A17" s="174"/>
      <c r="B17" s="175"/>
      <c r="C17" s="86"/>
      <c r="D17" s="159" t="s">
        <v>357</v>
      </c>
      <c r="E17" s="159"/>
      <c r="F17" s="159"/>
      <c r="G17" s="159"/>
      <c r="H17" s="159"/>
      <c r="I17" s="159"/>
      <c r="J17" s="159"/>
      <c r="K17" s="159"/>
      <c r="L17" s="160"/>
    </row>
    <row r="18" spans="1:12" s="85" customFormat="1" ht="12.75" customHeight="1" x14ac:dyDescent="0.25">
      <c r="A18" s="174"/>
      <c r="B18" s="175"/>
      <c r="C18" s="86"/>
      <c r="D18" s="159" t="s">
        <v>354</v>
      </c>
      <c r="E18" s="176"/>
      <c r="F18" s="176"/>
      <c r="G18" s="176"/>
      <c r="H18" s="176"/>
      <c r="I18" s="176"/>
      <c r="J18" s="176"/>
      <c r="K18" s="176"/>
      <c r="L18" s="177"/>
    </row>
    <row r="19" spans="1:12" s="85" customFormat="1" ht="12.75" customHeight="1" x14ac:dyDescent="0.25">
      <c r="A19" s="174"/>
      <c r="B19" s="175"/>
      <c r="C19" s="86"/>
      <c r="D19" s="159" t="s">
        <v>355</v>
      </c>
      <c r="E19" s="176"/>
      <c r="F19" s="176"/>
      <c r="G19" s="176"/>
      <c r="H19" s="176"/>
      <c r="I19" s="176"/>
      <c r="J19" s="176"/>
      <c r="K19" s="176"/>
      <c r="L19" s="177"/>
    </row>
    <row r="20" spans="1:12" s="85" customFormat="1" ht="12.75" customHeight="1" x14ac:dyDescent="0.25">
      <c r="A20" s="174"/>
      <c r="B20" s="175"/>
      <c r="C20" s="86"/>
      <c r="D20" s="159" t="s">
        <v>358</v>
      </c>
      <c r="E20" s="159"/>
      <c r="F20" s="159"/>
      <c r="G20" s="159"/>
      <c r="H20" s="159"/>
      <c r="I20" s="159"/>
      <c r="J20" s="159"/>
      <c r="K20" s="159"/>
      <c r="L20" s="160"/>
    </row>
    <row r="21" spans="1:12" s="85" customFormat="1" ht="12.75" customHeight="1" x14ac:dyDescent="0.25">
      <c r="A21" s="174"/>
      <c r="B21" s="175"/>
      <c r="C21" s="86"/>
      <c r="D21" s="159" t="s">
        <v>258</v>
      </c>
      <c r="E21" s="159"/>
      <c r="F21" s="159"/>
      <c r="G21" s="159"/>
      <c r="H21" s="159"/>
      <c r="I21" s="159"/>
      <c r="J21" s="159"/>
      <c r="K21" s="159"/>
      <c r="L21" s="160"/>
    </row>
    <row r="22" spans="1:12" s="85" customFormat="1" ht="12.75" customHeight="1" x14ac:dyDescent="0.25">
      <c r="A22" s="174"/>
      <c r="B22" s="175"/>
      <c r="C22" s="161" t="s">
        <v>363</v>
      </c>
      <c r="D22" s="159"/>
      <c r="E22" s="159"/>
      <c r="F22" s="159"/>
      <c r="G22" s="159"/>
      <c r="H22" s="159"/>
      <c r="I22" s="159"/>
      <c r="J22" s="159"/>
      <c r="K22" s="159"/>
      <c r="L22" s="160"/>
    </row>
    <row r="23" spans="1:12" s="85" customFormat="1" ht="12.75" customHeight="1" x14ac:dyDescent="0.25">
      <c r="A23" s="174"/>
      <c r="B23" s="175"/>
      <c r="C23" s="86"/>
      <c r="D23" s="159" t="s">
        <v>143</v>
      </c>
      <c r="E23" s="159"/>
      <c r="F23" s="159"/>
      <c r="G23" s="159"/>
      <c r="H23" s="159"/>
      <c r="I23" s="159"/>
      <c r="J23" s="159"/>
      <c r="K23" s="159"/>
      <c r="L23" s="160"/>
    </row>
    <row r="24" spans="1:12" s="85" customFormat="1" ht="12.75" customHeight="1" x14ac:dyDescent="0.25">
      <c r="A24" s="174"/>
      <c r="B24" s="175"/>
      <c r="C24" s="86"/>
      <c r="D24" s="159" t="s">
        <v>259</v>
      </c>
      <c r="E24" s="159"/>
      <c r="F24" s="159"/>
      <c r="G24" s="159"/>
      <c r="H24" s="159"/>
      <c r="I24" s="159"/>
      <c r="J24" s="159"/>
      <c r="K24" s="159"/>
      <c r="L24" s="160"/>
    </row>
    <row r="25" spans="1:12" s="85" customFormat="1" ht="12.75" customHeight="1" x14ac:dyDescent="0.25">
      <c r="A25" s="174"/>
      <c r="B25" s="175"/>
      <c r="C25" s="86"/>
      <c r="D25" s="159" t="s">
        <v>375</v>
      </c>
      <c r="E25" s="159"/>
      <c r="F25" s="159"/>
      <c r="G25" s="159"/>
      <c r="H25" s="159"/>
      <c r="I25" s="159"/>
      <c r="J25" s="159"/>
      <c r="K25" s="159"/>
      <c r="L25" s="160"/>
    </row>
    <row r="26" spans="1:12" s="85" customFormat="1" ht="12.75" customHeight="1" x14ac:dyDescent="0.25">
      <c r="A26" s="174"/>
      <c r="B26" s="175"/>
      <c r="C26" s="86"/>
      <c r="D26" s="159" t="s">
        <v>260</v>
      </c>
      <c r="E26" s="159"/>
      <c r="F26" s="159"/>
      <c r="G26" s="159"/>
      <c r="H26" s="159"/>
      <c r="I26" s="159"/>
      <c r="J26" s="159"/>
      <c r="K26" s="159"/>
      <c r="L26" s="160"/>
    </row>
    <row r="27" spans="1:12" s="85" customFormat="1" ht="12.75" customHeight="1" x14ac:dyDescent="0.25">
      <c r="A27" s="174"/>
      <c r="B27" s="175"/>
      <c r="C27" s="86"/>
      <c r="D27" s="159" t="s">
        <v>261</v>
      </c>
      <c r="E27" s="159"/>
      <c r="F27" s="159"/>
      <c r="G27" s="159"/>
      <c r="H27" s="159"/>
      <c r="I27" s="159"/>
      <c r="J27" s="159"/>
      <c r="K27" s="159"/>
      <c r="L27" s="160"/>
    </row>
    <row r="28" spans="1:12" s="85" customFormat="1" ht="12.75" customHeight="1" x14ac:dyDescent="0.25">
      <c r="A28" s="174"/>
      <c r="B28" s="175"/>
      <c r="C28" s="86"/>
      <c r="D28" s="159" t="s">
        <v>262</v>
      </c>
      <c r="E28" s="159"/>
      <c r="F28" s="159"/>
      <c r="G28" s="159"/>
      <c r="H28" s="159"/>
      <c r="I28" s="159"/>
      <c r="J28" s="159"/>
      <c r="K28" s="159"/>
      <c r="L28" s="160"/>
    </row>
    <row r="29" spans="1:12" s="85" customFormat="1" ht="12.75" customHeight="1" x14ac:dyDescent="0.25">
      <c r="A29" s="174"/>
      <c r="B29" s="175"/>
      <c r="C29" s="86"/>
      <c r="D29" s="159" t="s">
        <v>280</v>
      </c>
      <c r="E29" s="159"/>
      <c r="F29" s="159"/>
      <c r="G29" s="159"/>
      <c r="H29" s="159"/>
      <c r="I29" s="159"/>
      <c r="J29" s="159"/>
      <c r="K29" s="159"/>
      <c r="L29" s="160"/>
    </row>
    <row r="30" spans="1:12" s="85" customFormat="1" ht="12.75" customHeight="1" x14ac:dyDescent="0.25">
      <c r="A30" s="174"/>
      <c r="B30" s="175"/>
      <c r="C30" s="86"/>
      <c r="D30" s="159" t="s">
        <v>268</v>
      </c>
      <c r="E30" s="159"/>
      <c r="F30" s="159"/>
      <c r="G30" s="159"/>
      <c r="H30" s="159"/>
      <c r="I30" s="159"/>
      <c r="J30" s="159"/>
      <c r="K30" s="159"/>
      <c r="L30" s="160"/>
    </row>
    <row r="31" spans="1:12" s="85" customFormat="1" ht="12.75" customHeight="1" x14ac:dyDescent="0.25">
      <c r="A31" s="174"/>
      <c r="B31" s="175"/>
      <c r="C31" s="86"/>
      <c r="D31" s="159" t="s">
        <v>265</v>
      </c>
      <c r="E31" s="159"/>
      <c r="F31" s="159"/>
      <c r="G31" s="159"/>
      <c r="H31" s="159"/>
      <c r="I31" s="159"/>
      <c r="J31" s="159"/>
      <c r="K31" s="159"/>
      <c r="L31" s="160"/>
    </row>
    <row r="32" spans="1:12" s="85" customFormat="1" ht="12.75" customHeight="1" x14ac:dyDescent="0.25">
      <c r="A32" s="174"/>
      <c r="B32" s="175"/>
      <c r="C32" s="86"/>
      <c r="D32" s="159" t="s">
        <v>266</v>
      </c>
      <c r="E32" s="159"/>
      <c r="F32" s="159"/>
      <c r="G32" s="159"/>
      <c r="H32" s="159"/>
      <c r="I32" s="159"/>
      <c r="J32" s="159"/>
      <c r="K32" s="159"/>
      <c r="L32" s="160"/>
    </row>
    <row r="33" spans="1:12" s="85" customFormat="1" ht="12.75" customHeight="1" x14ac:dyDescent="0.25">
      <c r="A33" s="174"/>
      <c r="B33" s="175"/>
      <c r="C33" s="86"/>
      <c r="D33" s="159" t="s">
        <v>267</v>
      </c>
      <c r="E33" s="159"/>
      <c r="F33" s="159"/>
      <c r="G33" s="159"/>
      <c r="H33" s="159"/>
      <c r="I33" s="159"/>
      <c r="J33" s="159"/>
      <c r="K33" s="159"/>
      <c r="L33" s="160"/>
    </row>
    <row r="34" spans="1:12" s="85" customFormat="1" ht="12.75" customHeight="1" x14ac:dyDescent="0.25">
      <c r="A34" s="174"/>
      <c r="B34" s="175"/>
      <c r="C34" s="86"/>
      <c r="D34" s="159" t="s">
        <v>359</v>
      </c>
      <c r="E34" s="159"/>
      <c r="F34" s="159"/>
      <c r="G34" s="159"/>
      <c r="H34" s="159"/>
      <c r="I34" s="159"/>
      <c r="J34" s="159"/>
      <c r="K34" s="159"/>
      <c r="L34" s="160"/>
    </row>
    <row r="35" spans="1:12" s="85" customFormat="1" ht="12.75" customHeight="1" x14ac:dyDescent="0.25">
      <c r="A35" s="174"/>
      <c r="B35" s="175"/>
      <c r="C35" s="86"/>
      <c r="D35" s="159" t="s">
        <v>269</v>
      </c>
      <c r="E35" s="159"/>
      <c r="F35" s="159"/>
      <c r="G35" s="159"/>
      <c r="H35" s="159"/>
      <c r="I35" s="159"/>
      <c r="J35" s="159"/>
      <c r="K35" s="159"/>
      <c r="L35" s="160"/>
    </row>
    <row r="36" spans="1:12" s="85" customFormat="1" ht="12.75" customHeight="1" x14ac:dyDescent="0.25">
      <c r="A36" s="174"/>
      <c r="B36" s="175"/>
      <c r="C36" s="86"/>
      <c r="D36" s="83" t="s">
        <v>260</v>
      </c>
      <c r="E36" s="83"/>
      <c r="F36" s="83"/>
      <c r="G36" s="83"/>
      <c r="H36" s="83"/>
      <c r="I36" s="83"/>
      <c r="J36" s="83"/>
      <c r="K36" s="83"/>
      <c r="L36" s="84"/>
    </row>
    <row r="37" spans="1:12" s="85" customFormat="1" ht="12.75" customHeight="1" x14ac:dyDescent="0.25">
      <c r="A37" s="174"/>
      <c r="B37" s="175"/>
      <c r="C37" s="86"/>
      <c r="D37" s="159" t="s">
        <v>360</v>
      </c>
      <c r="E37" s="159"/>
      <c r="F37" s="159"/>
      <c r="G37" s="159"/>
      <c r="H37" s="159"/>
      <c r="I37" s="159"/>
      <c r="J37" s="159"/>
      <c r="K37" s="159"/>
      <c r="L37" s="160"/>
    </row>
    <row r="38" spans="1:12" s="85" customFormat="1" ht="12.75" customHeight="1" x14ac:dyDescent="0.25">
      <c r="A38" s="174"/>
      <c r="B38" s="175"/>
      <c r="C38" s="86"/>
      <c r="D38" s="83" t="s">
        <v>264</v>
      </c>
      <c r="E38" s="83"/>
      <c r="F38" s="83"/>
      <c r="G38" s="83"/>
      <c r="H38" s="83"/>
      <c r="I38" s="83"/>
      <c r="J38" s="83"/>
      <c r="K38" s="83"/>
      <c r="L38" s="84"/>
    </row>
    <row r="39" spans="1:12" s="85" customFormat="1" ht="12.75" customHeight="1" x14ac:dyDescent="0.25">
      <c r="A39" s="174"/>
      <c r="B39" s="175"/>
      <c r="C39" s="162" t="s">
        <v>364</v>
      </c>
      <c r="D39" s="163"/>
      <c r="E39" s="163"/>
      <c r="F39" s="163"/>
      <c r="G39" s="163"/>
      <c r="H39" s="163"/>
      <c r="I39" s="163"/>
      <c r="J39" s="163"/>
      <c r="K39" s="163"/>
      <c r="L39" s="164"/>
    </row>
    <row r="40" spans="1:12" s="85" customFormat="1" ht="12.75" customHeight="1" x14ac:dyDescent="0.25">
      <c r="A40" s="174"/>
      <c r="B40" s="175"/>
      <c r="C40" s="86"/>
      <c r="D40" s="159" t="s">
        <v>276</v>
      </c>
      <c r="E40" s="159"/>
      <c r="F40" s="159"/>
      <c r="G40" s="159"/>
      <c r="H40" s="159"/>
      <c r="I40" s="159"/>
      <c r="J40" s="159"/>
      <c r="K40" s="159"/>
      <c r="L40" s="160"/>
    </row>
    <row r="41" spans="1:12" s="85" customFormat="1" ht="12.75" customHeight="1" x14ac:dyDescent="0.25">
      <c r="A41" s="174"/>
      <c r="B41" s="175"/>
      <c r="C41" s="86"/>
      <c r="D41" s="159" t="s">
        <v>274</v>
      </c>
      <c r="E41" s="159"/>
      <c r="F41" s="159"/>
      <c r="G41" s="159"/>
      <c r="H41" s="159"/>
      <c r="I41" s="159"/>
      <c r="J41" s="159"/>
      <c r="K41" s="159"/>
      <c r="L41" s="160"/>
    </row>
    <row r="42" spans="1:12" s="85" customFormat="1" ht="12.75" customHeight="1" x14ac:dyDescent="0.25">
      <c r="A42" s="174"/>
      <c r="B42" s="175"/>
      <c r="C42" s="86"/>
      <c r="D42" s="159" t="s">
        <v>281</v>
      </c>
      <c r="E42" s="159"/>
      <c r="F42" s="159"/>
      <c r="G42" s="159"/>
      <c r="H42" s="159"/>
      <c r="I42" s="159"/>
      <c r="J42" s="159"/>
      <c r="K42" s="159"/>
      <c r="L42" s="160"/>
    </row>
    <row r="43" spans="1:12" s="85" customFormat="1" ht="12.75" customHeight="1" x14ac:dyDescent="0.25">
      <c r="A43" s="174"/>
      <c r="B43" s="175"/>
      <c r="C43" s="86"/>
      <c r="D43" s="159" t="s">
        <v>277</v>
      </c>
      <c r="E43" s="159"/>
      <c r="F43" s="159"/>
      <c r="G43" s="159"/>
      <c r="H43" s="159"/>
      <c r="I43" s="159"/>
      <c r="J43" s="159"/>
      <c r="K43" s="159"/>
      <c r="L43" s="160"/>
    </row>
    <row r="44" spans="1:12" s="85" customFormat="1" ht="12.75" customHeight="1" x14ac:dyDescent="0.25">
      <c r="A44" s="174"/>
      <c r="B44" s="175"/>
      <c r="C44" s="86"/>
      <c r="D44" s="159" t="s">
        <v>263</v>
      </c>
      <c r="E44" s="159"/>
      <c r="F44" s="159"/>
      <c r="G44" s="159"/>
      <c r="H44" s="159"/>
      <c r="I44" s="159"/>
      <c r="J44" s="159"/>
      <c r="K44" s="159"/>
      <c r="L44" s="160"/>
    </row>
    <row r="45" spans="1:12" s="85" customFormat="1" ht="12.75" customHeight="1" x14ac:dyDescent="0.25">
      <c r="A45" s="174"/>
      <c r="B45" s="175"/>
      <c r="C45" s="86"/>
      <c r="D45" s="159" t="s">
        <v>275</v>
      </c>
      <c r="E45" s="159"/>
      <c r="F45" s="159"/>
      <c r="G45" s="159"/>
      <c r="H45" s="159"/>
      <c r="I45" s="159"/>
      <c r="J45" s="159"/>
      <c r="K45" s="159"/>
      <c r="L45" s="160"/>
    </row>
    <row r="46" spans="1:12" s="85" customFormat="1" ht="12.75" customHeight="1" x14ac:dyDescent="0.25">
      <c r="A46" s="174"/>
      <c r="B46" s="175"/>
      <c r="C46" s="86"/>
      <c r="D46" s="159" t="s">
        <v>282</v>
      </c>
      <c r="E46" s="159"/>
      <c r="F46" s="159"/>
      <c r="G46" s="159"/>
      <c r="H46" s="159"/>
      <c r="I46" s="159"/>
      <c r="J46" s="159"/>
      <c r="K46" s="159"/>
      <c r="L46" s="160"/>
    </row>
    <row r="47" spans="1:12" s="85" customFormat="1" ht="12.75" customHeight="1" x14ac:dyDescent="0.25">
      <c r="A47" s="174"/>
      <c r="B47" s="175"/>
      <c r="C47" s="86"/>
      <c r="D47" s="159" t="s">
        <v>278</v>
      </c>
      <c r="E47" s="159"/>
      <c r="F47" s="159"/>
      <c r="G47" s="159"/>
      <c r="H47" s="159"/>
      <c r="I47" s="159"/>
      <c r="J47" s="159"/>
      <c r="K47" s="159"/>
      <c r="L47" s="160"/>
    </row>
    <row r="48" spans="1:12" s="85" customFormat="1" ht="12.75" customHeight="1" x14ac:dyDescent="0.25">
      <c r="A48" s="174"/>
      <c r="B48" s="175"/>
      <c r="C48" s="86"/>
      <c r="D48" s="159" t="s">
        <v>263</v>
      </c>
      <c r="E48" s="159"/>
      <c r="F48" s="159"/>
      <c r="G48" s="159"/>
      <c r="H48" s="159"/>
      <c r="I48" s="159"/>
      <c r="J48" s="159"/>
      <c r="K48" s="159"/>
      <c r="L48" s="160"/>
    </row>
    <row r="49" spans="1:12" s="85" customFormat="1" ht="12.75" customHeight="1" x14ac:dyDescent="0.25">
      <c r="A49" s="174"/>
      <c r="B49" s="175"/>
      <c r="C49" s="86"/>
      <c r="D49" s="159" t="s">
        <v>260</v>
      </c>
      <c r="E49" s="159"/>
      <c r="F49" s="159"/>
      <c r="G49" s="159"/>
      <c r="H49" s="159"/>
      <c r="I49" s="159"/>
      <c r="J49" s="159"/>
      <c r="K49" s="159"/>
      <c r="L49" s="160"/>
    </row>
    <row r="50" spans="1:12" s="85" customFormat="1" ht="12.75" customHeight="1" x14ac:dyDescent="0.25">
      <c r="A50" s="174"/>
      <c r="B50" s="175"/>
      <c r="C50" s="86"/>
      <c r="D50" s="159" t="s">
        <v>283</v>
      </c>
      <c r="E50" s="159"/>
      <c r="F50" s="159"/>
      <c r="G50" s="159"/>
      <c r="H50" s="159"/>
      <c r="I50" s="159"/>
      <c r="J50" s="159"/>
      <c r="K50" s="159"/>
      <c r="L50" s="160"/>
    </row>
    <row r="51" spans="1:12" s="85" customFormat="1" ht="12.75" customHeight="1" x14ac:dyDescent="0.25">
      <c r="A51" s="174"/>
      <c r="B51" s="175"/>
      <c r="C51" s="86"/>
      <c r="D51" s="159" t="s">
        <v>286</v>
      </c>
      <c r="E51" s="159"/>
      <c r="F51" s="159"/>
      <c r="G51" s="159"/>
      <c r="H51" s="159"/>
      <c r="I51" s="159"/>
      <c r="J51" s="159"/>
      <c r="K51" s="159"/>
      <c r="L51" s="160"/>
    </row>
    <row r="52" spans="1:12" s="85" customFormat="1" ht="12.75" customHeight="1" x14ac:dyDescent="0.25">
      <c r="A52" s="174"/>
      <c r="B52" s="175"/>
      <c r="C52" s="86"/>
      <c r="D52" s="159" t="s">
        <v>262</v>
      </c>
      <c r="E52" s="159"/>
      <c r="F52" s="159"/>
      <c r="G52" s="159"/>
      <c r="H52" s="159"/>
      <c r="I52" s="159"/>
      <c r="J52" s="159"/>
      <c r="K52" s="159"/>
      <c r="L52" s="160"/>
    </row>
    <row r="53" spans="1:12" s="85" customFormat="1" ht="12.75" customHeight="1" x14ac:dyDescent="0.25">
      <c r="A53" s="174"/>
      <c r="B53" s="175"/>
      <c r="C53" s="161" t="s">
        <v>365</v>
      </c>
      <c r="D53" s="159"/>
      <c r="E53" s="159"/>
      <c r="F53" s="159"/>
      <c r="G53" s="159"/>
      <c r="H53" s="159"/>
      <c r="I53" s="159"/>
      <c r="J53" s="159"/>
      <c r="K53" s="159"/>
      <c r="L53" s="160"/>
    </row>
    <row r="54" spans="1:12" s="85" customFormat="1" x14ac:dyDescent="0.25">
      <c r="A54" s="169" t="s">
        <v>231</v>
      </c>
      <c r="B54" s="169"/>
      <c r="C54" s="166" t="s">
        <v>234</v>
      </c>
      <c r="D54" s="167"/>
      <c r="E54" s="167"/>
      <c r="F54" s="167"/>
      <c r="G54" s="167"/>
      <c r="H54" s="167"/>
      <c r="I54" s="167"/>
      <c r="J54" s="167"/>
      <c r="K54" s="167"/>
      <c r="L54" s="168"/>
    </row>
    <row r="55" spans="1:12" s="85" customFormat="1" x14ac:dyDescent="0.25">
      <c r="A55" s="169"/>
      <c r="B55" s="169"/>
      <c r="C55" s="166" t="s">
        <v>235</v>
      </c>
      <c r="D55" s="167"/>
      <c r="E55" s="167"/>
      <c r="F55" s="167"/>
      <c r="G55" s="167"/>
      <c r="H55" s="167"/>
      <c r="I55" s="167"/>
      <c r="J55" s="167"/>
      <c r="K55" s="167"/>
      <c r="L55" s="168"/>
    </row>
    <row r="58" spans="1:12" ht="13" x14ac:dyDescent="0.3">
      <c r="A58" s="170" t="s">
        <v>232</v>
      </c>
      <c r="B58" s="170"/>
    </row>
    <row r="59" spans="1:12" ht="13" x14ac:dyDescent="0.3">
      <c r="A59" s="87" t="s">
        <v>233</v>
      </c>
      <c r="B59" s="87"/>
      <c r="C59" s="87"/>
      <c r="F59" s="87"/>
      <c r="G59" s="87"/>
      <c r="H59" s="87"/>
      <c r="I59" s="87"/>
      <c r="J59" s="87"/>
      <c r="K59" s="87"/>
      <c r="L59" s="87"/>
    </row>
    <row r="60" spans="1:12" ht="13" x14ac:dyDescent="0.3">
      <c r="A60" s="88"/>
      <c r="B60" s="90" t="s">
        <v>284</v>
      </c>
      <c r="C60" s="90"/>
      <c r="D60" s="87"/>
      <c r="E60" s="87"/>
      <c r="F60" s="90"/>
      <c r="G60" s="90"/>
      <c r="H60" s="90"/>
      <c r="I60" s="90"/>
      <c r="J60" s="90"/>
      <c r="K60" s="90"/>
      <c r="L60" s="90"/>
    </row>
    <row r="61" spans="1:12" ht="13" x14ac:dyDescent="0.3">
      <c r="A61" s="88"/>
      <c r="B61" s="90" t="s">
        <v>362</v>
      </c>
      <c r="C61" s="90"/>
      <c r="D61" s="87"/>
      <c r="E61" s="87"/>
      <c r="F61" s="90"/>
      <c r="G61" s="90"/>
      <c r="H61" s="90"/>
      <c r="I61" s="90"/>
      <c r="J61" s="90"/>
      <c r="K61" s="90"/>
      <c r="L61" s="90"/>
    </row>
    <row r="62" spans="1:12" ht="13" x14ac:dyDescent="0.3">
      <c r="A62" s="91" t="s">
        <v>236</v>
      </c>
      <c r="B62" s="89"/>
      <c r="C62" s="89"/>
      <c r="D62" s="90"/>
      <c r="E62" s="90"/>
      <c r="F62" s="89"/>
      <c r="G62" s="89"/>
      <c r="H62" s="89"/>
      <c r="I62" s="89"/>
      <c r="J62" s="89"/>
      <c r="K62" s="89"/>
      <c r="L62" s="89"/>
    </row>
    <row r="63" spans="1:12" x14ac:dyDescent="0.25">
      <c r="A63" s="88"/>
      <c r="B63" s="90" t="s">
        <v>238</v>
      </c>
      <c r="C63" s="90"/>
      <c r="D63" s="89"/>
      <c r="E63" s="89"/>
      <c r="F63" s="90"/>
      <c r="G63" s="90"/>
      <c r="H63" s="90"/>
      <c r="I63" s="90"/>
      <c r="J63" s="90"/>
      <c r="K63" s="90"/>
      <c r="L63" s="90"/>
    </row>
    <row r="64" spans="1:12" x14ac:dyDescent="0.25">
      <c r="A64" s="88"/>
      <c r="B64" s="90" t="s">
        <v>237</v>
      </c>
      <c r="C64" s="90"/>
      <c r="D64" s="90"/>
      <c r="E64" s="90"/>
      <c r="F64" s="90"/>
      <c r="G64" s="90"/>
      <c r="H64" s="90"/>
      <c r="I64" s="90"/>
      <c r="J64" s="90"/>
      <c r="K64" s="90"/>
      <c r="L64" s="90"/>
    </row>
    <row r="65" spans="1:12" x14ac:dyDescent="0.25">
      <c r="A65" s="88"/>
      <c r="B65" s="90" t="s">
        <v>239</v>
      </c>
      <c r="C65" s="90"/>
      <c r="D65" s="90"/>
      <c r="E65" s="90"/>
      <c r="F65" s="90"/>
      <c r="G65" s="90"/>
      <c r="H65" s="90"/>
      <c r="I65" s="90"/>
      <c r="J65" s="90"/>
      <c r="K65" s="90"/>
      <c r="L65" s="90"/>
    </row>
    <row r="66" spans="1:12" x14ac:dyDescent="0.25">
      <c r="A66" s="88" t="s">
        <v>349</v>
      </c>
      <c r="B66" s="90"/>
      <c r="C66" s="90"/>
      <c r="D66" s="90"/>
      <c r="E66" s="90"/>
      <c r="F66" s="90"/>
      <c r="G66" s="90"/>
      <c r="H66" s="90"/>
      <c r="I66" s="90"/>
      <c r="J66" s="90"/>
      <c r="K66" s="90"/>
      <c r="L66" s="90"/>
    </row>
    <row r="67" spans="1:12" x14ac:dyDescent="0.25">
      <c r="A67" s="88"/>
      <c r="B67" s="90" t="s">
        <v>361</v>
      </c>
      <c r="C67" s="90"/>
      <c r="D67" s="89"/>
      <c r="E67" s="89"/>
      <c r="F67" s="90"/>
      <c r="G67" s="90"/>
      <c r="H67" s="90"/>
      <c r="I67" s="90"/>
      <c r="J67" s="90"/>
      <c r="K67" s="90"/>
      <c r="L67" s="90"/>
    </row>
    <row r="68" spans="1:12" x14ac:dyDescent="0.25">
      <c r="A68" s="88"/>
      <c r="B68" s="90" t="s">
        <v>247</v>
      </c>
      <c r="C68" s="90"/>
      <c r="D68" s="90"/>
      <c r="E68" s="90"/>
      <c r="F68" s="90"/>
      <c r="G68" s="90"/>
      <c r="H68" s="90"/>
      <c r="I68" s="90"/>
      <c r="J68" s="90"/>
      <c r="K68" s="90"/>
      <c r="L68" s="90"/>
    </row>
    <row r="69" spans="1:12" ht="13" x14ac:dyDescent="0.3">
      <c r="A69" s="87" t="s">
        <v>45</v>
      </c>
      <c r="B69" s="90"/>
      <c r="C69" s="90"/>
      <c r="D69" s="90"/>
      <c r="E69" s="90"/>
      <c r="F69" s="90"/>
      <c r="G69" s="90"/>
      <c r="H69" s="90"/>
      <c r="I69" s="90"/>
      <c r="J69" s="90"/>
      <c r="K69" s="90"/>
      <c r="L69" s="90"/>
    </row>
    <row r="70" spans="1:12" x14ac:dyDescent="0.25">
      <c r="A70" s="88"/>
      <c r="B70" s="90" t="s">
        <v>240</v>
      </c>
      <c r="C70" s="90"/>
      <c r="D70" s="90"/>
      <c r="E70" s="90"/>
      <c r="F70" s="90"/>
      <c r="G70" s="90"/>
      <c r="H70" s="90"/>
      <c r="I70" s="90"/>
      <c r="J70" s="90"/>
      <c r="K70" s="90"/>
      <c r="L70" s="90"/>
    </row>
    <row r="71" spans="1:12" x14ac:dyDescent="0.25">
      <c r="A71" s="88"/>
      <c r="B71" s="90" t="s">
        <v>244</v>
      </c>
      <c r="C71" s="90"/>
      <c r="D71" s="90"/>
      <c r="E71" s="90"/>
      <c r="F71" s="90"/>
      <c r="G71" s="90"/>
      <c r="H71" s="90"/>
      <c r="I71" s="90"/>
      <c r="J71" s="90"/>
      <c r="K71" s="90"/>
      <c r="L71" s="90"/>
    </row>
    <row r="72" spans="1:12" x14ac:dyDescent="0.25">
      <c r="A72" s="88"/>
      <c r="B72" s="90" t="s">
        <v>243</v>
      </c>
      <c r="C72" s="90"/>
      <c r="D72" s="90"/>
      <c r="E72" s="90"/>
      <c r="F72" s="90"/>
      <c r="G72" s="90"/>
      <c r="H72" s="90"/>
      <c r="I72" s="90"/>
      <c r="J72" s="90"/>
      <c r="K72" s="90"/>
      <c r="L72" s="90"/>
    </row>
    <row r="73" spans="1:12" x14ac:dyDescent="0.25">
      <c r="A73" s="88"/>
      <c r="B73" s="90" t="s">
        <v>245</v>
      </c>
      <c r="C73" s="90"/>
      <c r="D73" s="90"/>
      <c r="E73" s="90"/>
      <c r="F73" s="90"/>
      <c r="G73" s="90"/>
      <c r="H73" s="90"/>
      <c r="I73" s="90"/>
      <c r="J73" s="90"/>
      <c r="K73" s="90"/>
      <c r="L73" s="90"/>
    </row>
    <row r="74" spans="1:12" ht="13" x14ac:dyDescent="0.3">
      <c r="A74" s="87" t="s">
        <v>155</v>
      </c>
      <c r="B74" s="90"/>
      <c r="C74" s="90"/>
      <c r="D74" s="90"/>
      <c r="E74" s="90"/>
      <c r="F74" s="90"/>
      <c r="G74" s="90"/>
      <c r="H74" s="90"/>
      <c r="I74" s="90"/>
      <c r="J74" s="90"/>
      <c r="K74" s="90"/>
      <c r="L74" s="90"/>
    </row>
    <row r="75" spans="1:12" x14ac:dyDescent="0.25">
      <c r="A75" s="88"/>
      <c r="B75" s="90" t="s">
        <v>248</v>
      </c>
      <c r="C75" s="90"/>
      <c r="D75" s="90"/>
      <c r="E75" s="90"/>
      <c r="F75" s="90"/>
      <c r="G75" s="90"/>
      <c r="H75" s="90"/>
      <c r="I75" s="90"/>
      <c r="J75" s="90"/>
      <c r="K75" s="90"/>
      <c r="L75" s="90"/>
    </row>
    <row r="76" spans="1:12" x14ac:dyDescent="0.25">
      <c r="A76" s="88"/>
      <c r="B76" s="90" t="s">
        <v>246</v>
      </c>
      <c r="C76" s="90"/>
      <c r="D76" s="90"/>
      <c r="E76" s="90"/>
      <c r="F76" s="90"/>
      <c r="G76" s="90"/>
      <c r="H76" s="90"/>
      <c r="I76" s="90"/>
      <c r="J76" s="90"/>
      <c r="K76" s="90"/>
      <c r="L76" s="90"/>
    </row>
    <row r="77" spans="1:12" x14ac:dyDescent="0.25">
      <c r="A77" s="88"/>
      <c r="B77" s="90" t="s">
        <v>243</v>
      </c>
      <c r="C77" s="90"/>
      <c r="D77" s="90"/>
      <c r="E77" s="90"/>
      <c r="F77" s="90"/>
      <c r="G77" s="90"/>
      <c r="H77" s="90"/>
      <c r="I77" s="90"/>
      <c r="J77" s="90"/>
      <c r="K77" s="90"/>
      <c r="L77" s="90"/>
    </row>
    <row r="79" spans="1:12" ht="13" x14ac:dyDescent="0.3">
      <c r="A79" s="94" t="s">
        <v>293</v>
      </c>
    </row>
    <row r="81" spans="2:7" ht="13" x14ac:dyDescent="0.3">
      <c r="B81" s="94" t="s">
        <v>294</v>
      </c>
    </row>
    <row r="82" spans="2:7" x14ac:dyDescent="0.25">
      <c r="C82" t="s">
        <v>296</v>
      </c>
      <c r="D82" t="s">
        <v>297</v>
      </c>
    </row>
    <row r="83" spans="2:7" x14ac:dyDescent="0.25">
      <c r="C83" t="s">
        <v>299</v>
      </c>
      <c r="D83" t="s">
        <v>298</v>
      </c>
    </row>
    <row r="84" spans="2:7" x14ac:dyDescent="0.25">
      <c r="C84" t="s">
        <v>295</v>
      </c>
      <c r="D84" t="s">
        <v>336</v>
      </c>
      <c r="F84">
        <f>TDIST(1.325,20,2)</f>
        <v>0.20011094649214559</v>
      </c>
    </row>
    <row r="85" spans="2:7" x14ac:dyDescent="0.25">
      <c r="C85" t="s">
        <v>300</v>
      </c>
      <c r="D85" t="s">
        <v>301</v>
      </c>
    </row>
    <row r="86" spans="2:7" x14ac:dyDescent="0.25">
      <c r="D86" t="s">
        <v>376</v>
      </c>
    </row>
    <row r="88" spans="2:7" ht="13" x14ac:dyDescent="0.3">
      <c r="B88" s="94" t="s">
        <v>334</v>
      </c>
      <c r="C88" t="s">
        <v>303</v>
      </c>
      <c r="D88" t="s">
        <v>335</v>
      </c>
    </row>
    <row r="89" spans="2:7" x14ac:dyDescent="0.25">
      <c r="C89" t="s">
        <v>305</v>
      </c>
      <c r="D89" t="s">
        <v>338</v>
      </c>
    </row>
    <row r="90" spans="2:7" x14ac:dyDescent="0.25">
      <c r="C90" t="s">
        <v>309</v>
      </c>
      <c r="D90" t="s">
        <v>337</v>
      </c>
      <c r="F90">
        <f>TINV(0.200111,20)</f>
        <v>1.3249998357178685</v>
      </c>
    </row>
    <row r="92" spans="2:7" ht="13" x14ac:dyDescent="0.3">
      <c r="B92" s="94" t="s">
        <v>302</v>
      </c>
      <c r="C92" t="s">
        <v>303</v>
      </c>
      <c r="D92" t="s">
        <v>304</v>
      </c>
    </row>
    <row r="93" spans="2:7" x14ac:dyDescent="0.25">
      <c r="C93" t="s">
        <v>305</v>
      </c>
      <c r="D93" t="s">
        <v>306</v>
      </c>
    </row>
    <row r="94" spans="2:7" x14ac:dyDescent="0.25">
      <c r="C94" t="s">
        <v>309</v>
      </c>
      <c r="D94" t="s">
        <v>310</v>
      </c>
      <c r="F94" s="95" t="s">
        <v>307</v>
      </c>
      <c r="G94" s="95" t="s">
        <v>308</v>
      </c>
    </row>
    <row r="95" spans="2:7" x14ac:dyDescent="0.25">
      <c r="D95" t="s">
        <v>311</v>
      </c>
      <c r="F95" s="95">
        <v>1</v>
      </c>
      <c r="G95" s="95">
        <v>2</v>
      </c>
    </row>
    <row r="96" spans="2:7" x14ac:dyDescent="0.25">
      <c r="D96" t="s">
        <v>312</v>
      </c>
      <c r="F96" s="95">
        <v>2</v>
      </c>
      <c r="G96" s="95">
        <v>4</v>
      </c>
    </row>
    <row r="97" spans="2:9" x14ac:dyDescent="0.25">
      <c r="D97">
        <f>CORREL(F95:F100,G95:G100)</f>
        <v>0.98371697209638886</v>
      </c>
      <c r="F97" s="95">
        <v>4</v>
      </c>
      <c r="G97" s="95">
        <v>8</v>
      </c>
    </row>
    <row r="98" spans="2:9" x14ac:dyDescent="0.25">
      <c r="F98" s="95">
        <v>5</v>
      </c>
      <c r="G98" s="95">
        <v>10</v>
      </c>
    </row>
    <row r="99" spans="2:9" x14ac:dyDescent="0.25">
      <c r="F99" s="95">
        <v>6</v>
      </c>
      <c r="G99" s="95">
        <v>12</v>
      </c>
    </row>
    <row r="100" spans="2:9" x14ac:dyDescent="0.25">
      <c r="F100" s="95">
        <v>7</v>
      </c>
      <c r="G100" s="95">
        <v>17</v>
      </c>
    </row>
    <row r="102" spans="2:9" ht="13" x14ac:dyDescent="0.3">
      <c r="B102" s="94" t="s">
        <v>313</v>
      </c>
      <c r="C102" t="s">
        <v>303</v>
      </c>
      <c r="D102" t="s">
        <v>314</v>
      </c>
    </row>
    <row r="103" spans="2:9" x14ac:dyDescent="0.25">
      <c r="C103" t="s">
        <v>305</v>
      </c>
      <c r="D103" t="s">
        <v>315</v>
      </c>
    </row>
    <row r="104" spans="2:9" x14ac:dyDescent="0.25">
      <c r="C104" t="s">
        <v>309</v>
      </c>
      <c r="D104" t="s">
        <v>316</v>
      </c>
      <c r="I104">
        <f>SLOPE(G95:G100,F95:F100)</f>
        <v>2.3167701863354031</v>
      </c>
    </row>
    <row r="106" spans="2:9" ht="13" x14ac:dyDescent="0.3">
      <c r="B106" s="94" t="s">
        <v>317</v>
      </c>
      <c r="C106" t="s">
        <v>303</v>
      </c>
      <c r="D106" t="s">
        <v>314</v>
      </c>
    </row>
    <row r="107" spans="2:9" x14ac:dyDescent="0.25">
      <c r="C107" t="s">
        <v>305</v>
      </c>
      <c r="D107" t="s">
        <v>318</v>
      </c>
    </row>
    <row r="108" spans="2:9" x14ac:dyDescent="0.25">
      <c r="C108" t="s">
        <v>309</v>
      </c>
      <c r="D108" t="s">
        <v>319</v>
      </c>
      <c r="I108">
        <f>INTERCEPT(G95:G100,F95:F100)</f>
        <v>-0.81987577639751308</v>
      </c>
    </row>
    <row r="110" spans="2:9" ht="13" x14ac:dyDescent="0.3">
      <c r="B110" s="94" t="s">
        <v>320</v>
      </c>
      <c r="C110" t="s">
        <v>303</v>
      </c>
      <c r="D110" t="s">
        <v>321</v>
      </c>
    </row>
    <row r="111" spans="2:9" x14ac:dyDescent="0.25">
      <c r="C111" t="s">
        <v>305</v>
      </c>
      <c r="D111" t="s">
        <v>322</v>
      </c>
    </row>
    <row r="112" spans="2:9" x14ac:dyDescent="0.25">
      <c r="C112" t="s">
        <v>309</v>
      </c>
      <c r="D112" t="s">
        <v>323</v>
      </c>
      <c r="I112">
        <f>AVERAGE(F95:F100)</f>
        <v>4.166666666666667</v>
      </c>
    </row>
    <row r="114" spans="2:9" ht="13" x14ac:dyDescent="0.3">
      <c r="B114" s="94" t="s">
        <v>324</v>
      </c>
      <c r="C114" t="s">
        <v>303</v>
      </c>
      <c r="D114" t="s">
        <v>321</v>
      </c>
    </row>
    <row r="115" spans="2:9" x14ac:dyDescent="0.25">
      <c r="C115" t="s">
        <v>305</v>
      </c>
      <c r="D115" t="s">
        <v>325</v>
      </c>
    </row>
    <row r="116" spans="2:9" x14ac:dyDescent="0.25">
      <c r="C116" t="s">
        <v>309</v>
      </c>
      <c r="D116" t="s">
        <v>326</v>
      </c>
      <c r="I116">
        <f>STDEV(F95:F100)</f>
        <v>2.3166067138525404</v>
      </c>
    </row>
    <row r="118" spans="2:9" ht="13" x14ac:dyDescent="0.3">
      <c r="B118" s="94" t="s">
        <v>327</v>
      </c>
      <c r="C118" t="s">
        <v>303</v>
      </c>
      <c r="D118" t="s">
        <v>321</v>
      </c>
    </row>
    <row r="119" spans="2:9" x14ac:dyDescent="0.25">
      <c r="C119" t="s">
        <v>305</v>
      </c>
      <c r="D119" t="s">
        <v>328</v>
      </c>
    </row>
    <row r="120" spans="2:9" x14ac:dyDescent="0.25">
      <c r="C120" t="s">
        <v>309</v>
      </c>
      <c r="D120" t="s">
        <v>329</v>
      </c>
      <c r="I120">
        <f>SUM(F95:F100)</f>
        <v>25</v>
      </c>
    </row>
    <row r="122" spans="2:9" ht="13" x14ac:dyDescent="0.3">
      <c r="B122" s="94" t="s">
        <v>330</v>
      </c>
      <c r="C122" t="s">
        <v>303</v>
      </c>
      <c r="D122" t="s">
        <v>331</v>
      </c>
    </row>
    <row r="123" spans="2:9" x14ac:dyDescent="0.25">
      <c r="C123" t="s">
        <v>305</v>
      </c>
      <c r="D123" t="s">
        <v>332</v>
      </c>
    </row>
    <row r="124" spans="2:9" x14ac:dyDescent="0.25">
      <c r="C124" t="s">
        <v>309</v>
      </c>
      <c r="D124" t="s">
        <v>333</v>
      </c>
    </row>
  </sheetData>
  <sheetProtection password="CB8C" sheet="1"/>
  <mergeCells count="57">
    <mergeCell ref="D13:L13"/>
    <mergeCell ref="D14:L14"/>
    <mergeCell ref="C15:L15"/>
    <mergeCell ref="C3:L3"/>
    <mergeCell ref="D8:L8"/>
    <mergeCell ref="D9:L9"/>
    <mergeCell ref="A2:B2"/>
    <mergeCell ref="A3:B53"/>
    <mergeCell ref="D28:L28"/>
    <mergeCell ref="D4:L4"/>
    <mergeCell ref="D5:L5"/>
    <mergeCell ref="D6:L6"/>
    <mergeCell ref="D10:L10"/>
    <mergeCell ref="D11:L11"/>
    <mergeCell ref="D12:L12"/>
    <mergeCell ref="D19:L19"/>
    <mergeCell ref="D16:L16"/>
    <mergeCell ref="D17:L17"/>
    <mergeCell ref="D18:L18"/>
    <mergeCell ref="A58:B58"/>
    <mergeCell ref="D32:L32"/>
    <mergeCell ref="D47:L47"/>
    <mergeCell ref="D35:L35"/>
    <mergeCell ref="D42:L42"/>
    <mergeCell ref="A1:B1"/>
    <mergeCell ref="D52:L52"/>
    <mergeCell ref="C53:L53"/>
    <mergeCell ref="C54:L54"/>
    <mergeCell ref="C55:L55"/>
    <mergeCell ref="D49:L49"/>
    <mergeCell ref="D51:L51"/>
    <mergeCell ref="D44:L44"/>
    <mergeCell ref="D45:L45"/>
    <mergeCell ref="D43:L43"/>
    <mergeCell ref="D7:L7"/>
    <mergeCell ref="D48:L48"/>
    <mergeCell ref="D46:L46"/>
    <mergeCell ref="D50:L50"/>
    <mergeCell ref="A54:B55"/>
    <mergeCell ref="C2:L2"/>
    <mergeCell ref="D37:L37"/>
    <mergeCell ref="C39:L39"/>
    <mergeCell ref="D40:L40"/>
    <mergeCell ref="D41:L41"/>
    <mergeCell ref="D31:L31"/>
    <mergeCell ref="D33:L33"/>
    <mergeCell ref="D34:L34"/>
    <mergeCell ref="D20:L20"/>
    <mergeCell ref="D21:L21"/>
    <mergeCell ref="C22:L22"/>
    <mergeCell ref="D26:L26"/>
    <mergeCell ref="D23:L23"/>
    <mergeCell ref="D30:L30"/>
    <mergeCell ref="D29:L29"/>
    <mergeCell ref="D27:L27"/>
    <mergeCell ref="D24:L24"/>
    <mergeCell ref="D25:L25"/>
  </mergeCells>
  <phoneticPr fontId="11" type="noConversion"/>
  <pageMargins left="0.75" right="0.75" top="1" bottom="1" header="0.5" footer="0.5"/>
  <pageSetup scale="44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89"/>
  <sheetViews>
    <sheetView topLeftCell="A52" zoomScaleNormal="100" workbookViewId="0">
      <selection activeCell="F44" sqref="F44"/>
    </sheetView>
  </sheetViews>
  <sheetFormatPr defaultColWidth="9.1796875" defaultRowHeight="12.5" x14ac:dyDescent="0.25"/>
  <cols>
    <col min="1" max="1" width="13.453125" style="63" bestFit="1" customWidth="1"/>
    <col min="2" max="2" width="15.1796875" style="63" customWidth="1"/>
    <col min="3" max="3" width="15.453125" style="63" customWidth="1"/>
    <col min="4" max="4" width="16.26953125" style="63" customWidth="1"/>
    <col min="5" max="5" width="14.81640625" style="63" customWidth="1"/>
    <col min="6" max="6" width="17.7265625" style="63" customWidth="1"/>
    <col min="7" max="7" width="8" style="63" customWidth="1"/>
    <col min="8" max="16384" width="9.1796875" style="63"/>
  </cols>
  <sheetData>
    <row r="1" spans="1:9" ht="41.25" customHeight="1" x14ac:dyDescent="0.4">
      <c r="A1" s="130" t="s">
        <v>189</v>
      </c>
      <c r="B1" s="130"/>
      <c r="C1" s="130"/>
      <c r="D1" s="130"/>
      <c r="E1" s="130"/>
      <c r="F1" s="130"/>
      <c r="G1" s="66"/>
    </row>
    <row r="2" spans="1:9" ht="13" x14ac:dyDescent="0.3">
      <c r="A2" s="67"/>
      <c r="B2" s="67" t="s">
        <v>71</v>
      </c>
      <c r="C2" s="67" t="s">
        <v>72</v>
      </c>
      <c r="D2" s="67" t="s">
        <v>49</v>
      </c>
      <c r="E2" s="68" t="s">
        <v>29</v>
      </c>
      <c r="F2" s="98"/>
      <c r="G2" s="24"/>
    </row>
    <row r="3" spans="1:9" x14ac:dyDescent="0.25">
      <c r="A3" s="24"/>
      <c r="B3" t="s">
        <v>339</v>
      </c>
      <c r="C3">
        <v>93</v>
      </c>
      <c r="D3">
        <v>5</v>
      </c>
      <c r="E3" s="38" t="s">
        <v>53</v>
      </c>
      <c r="F3" s="99"/>
      <c r="G3" s="24"/>
      <c r="H3" s="128"/>
      <c r="I3" s="65"/>
    </row>
    <row r="4" spans="1:9" x14ac:dyDescent="0.25">
      <c r="A4" s="24"/>
      <c r="B4" t="s">
        <v>340</v>
      </c>
      <c r="C4">
        <v>112</v>
      </c>
      <c r="D4">
        <v>1</v>
      </c>
      <c r="E4" s="38" t="s">
        <v>53</v>
      </c>
      <c r="F4" s="100"/>
      <c r="G4" s="24"/>
      <c r="H4" s="128"/>
    </row>
    <row r="5" spans="1:9" x14ac:dyDescent="0.25">
      <c r="A5" s="24"/>
      <c r="B5" t="s">
        <v>341</v>
      </c>
      <c r="C5">
        <v>79</v>
      </c>
      <c r="D5">
        <v>1</v>
      </c>
      <c r="E5" s="38" t="s">
        <v>53</v>
      </c>
      <c r="F5" s="100"/>
      <c r="G5" s="24"/>
      <c r="H5" s="128"/>
    </row>
    <row r="6" spans="1:9" x14ac:dyDescent="0.25">
      <c r="A6" s="24"/>
      <c r="B6" t="s">
        <v>342</v>
      </c>
      <c r="C6">
        <v>126</v>
      </c>
      <c r="D6">
        <v>6</v>
      </c>
      <c r="E6" s="38" t="s">
        <v>53</v>
      </c>
      <c r="F6" s="100"/>
      <c r="G6" s="24"/>
      <c r="H6" s="128"/>
    </row>
    <row r="7" spans="1:9" x14ac:dyDescent="0.25">
      <c r="A7" s="24"/>
      <c r="B7" t="s">
        <v>343</v>
      </c>
      <c r="C7">
        <v>68</v>
      </c>
      <c r="D7">
        <v>1</v>
      </c>
      <c r="E7" s="38" t="s">
        <v>53</v>
      </c>
      <c r="F7" s="100"/>
      <c r="G7" s="24"/>
      <c r="H7" s="128"/>
    </row>
    <row r="8" spans="1:9" x14ac:dyDescent="0.25">
      <c r="A8" s="24"/>
      <c r="B8" t="s">
        <v>344</v>
      </c>
      <c r="C8">
        <v>128</v>
      </c>
      <c r="D8">
        <v>6</v>
      </c>
      <c r="E8" s="38" t="s">
        <v>53</v>
      </c>
      <c r="F8" s="100"/>
      <c r="G8" s="24"/>
      <c r="H8" s="128"/>
    </row>
    <row r="9" spans="1:9" x14ac:dyDescent="0.25">
      <c r="A9" s="24"/>
      <c r="B9" t="s">
        <v>345</v>
      </c>
      <c r="C9">
        <v>141</v>
      </c>
      <c r="D9">
        <v>3</v>
      </c>
      <c r="E9" s="38" t="s">
        <v>53</v>
      </c>
      <c r="F9" s="100"/>
      <c r="G9" s="24"/>
      <c r="H9" s="128"/>
    </row>
    <row r="10" spans="1:9" x14ac:dyDescent="0.25">
      <c r="A10" s="24"/>
      <c r="B10" t="s">
        <v>346</v>
      </c>
      <c r="C10">
        <v>142</v>
      </c>
      <c r="D10">
        <v>1</v>
      </c>
      <c r="E10" s="38" t="s">
        <v>53</v>
      </c>
      <c r="F10" s="100"/>
      <c r="G10" s="24"/>
      <c r="H10" s="128"/>
    </row>
    <row r="11" spans="1:9" x14ac:dyDescent="0.25">
      <c r="A11" s="24"/>
      <c r="B11" t="s">
        <v>347</v>
      </c>
      <c r="C11">
        <v>58</v>
      </c>
      <c r="D11">
        <v>6</v>
      </c>
      <c r="E11" s="38" t="s">
        <v>53</v>
      </c>
      <c r="F11" s="100"/>
      <c r="G11" s="24"/>
      <c r="H11" s="128"/>
    </row>
    <row r="12" spans="1:9" x14ac:dyDescent="0.25">
      <c r="A12" s="24"/>
      <c r="B12" t="s">
        <v>82</v>
      </c>
      <c r="C12">
        <v>79</v>
      </c>
      <c r="D12">
        <v>3</v>
      </c>
      <c r="E12" s="38" t="s">
        <v>53</v>
      </c>
      <c r="F12" s="100"/>
      <c r="G12" s="24"/>
      <c r="H12" s="128"/>
    </row>
    <row r="13" spans="1:9" x14ac:dyDescent="0.25">
      <c r="A13" s="24"/>
      <c r="B13" t="s">
        <v>83</v>
      </c>
      <c r="C13">
        <v>95</v>
      </c>
      <c r="D13">
        <v>5</v>
      </c>
      <c r="E13" s="38" t="s">
        <v>30</v>
      </c>
      <c r="F13" s="100"/>
      <c r="G13" s="24"/>
      <c r="H13" s="128"/>
    </row>
    <row r="14" spans="1:9" x14ac:dyDescent="0.25">
      <c r="A14" s="24"/>
      <c r="B14" t="s">
        <v>84</v>
      </c>
      <c r="C14">
        <v>127</v>
      </c>
      <c r="D14">
        <v>4</v>
      </c>
      <c r="E14" s="38" t="s">
        <v>30</v>
      </c>
      <c r="F14" s="100"/>
      <c r="G14" s="24"/>
      <c r="H14" s="128"/>
    </row>
    <row r="15" spans="1:9" x14ac:dyDescent="0.25">
      <c r="A15" s="24"/>
      <c r="B15" t="s">
        <v>85</v>
      </c>
      <c r="C15">
        <v>90</v>
      </c>
      <c r="D15">
        <v>6</v>
      </c>
      <c r="E15" s="38" t="s">
        <v>30</v>
      </c>
      <c r="F15" s="100"/>
      <c r="G15" s="24"/>
      <c r="H15" s="128"/>
    </row>
    <row r="16" spans="1:9" x14ac:dyDescent="0.25">
      <c r="A16" s="24"/>
      <c r="B16" t="s">
        <v>86</v>
      </c>
      <c r="C16">
        <v>122</v>
      </c>
      <c r="D16">
        <v>5</v>
      </c>
      <c r="E16" s="38" t="s">
        <v>30</v>
      </c>
      <c r="F16" s="100"/>
      <c r="G16" s="24"/>
      <c r="H16" s="128"/>
    </row>
    <row r="17" spans="1:8" x14ac:dyDescent="0.25">
      <c r="A17" s="24"/>
      <c r="B17" t="s">
        <v>87</v>
      </c>
      <c r="C17">
        <v>97</v>
      </c>
      <c r="D17">
        <v>5</v>
      </c>
      <c r="E17" s="38" t="s">
        <v>30</v>
      </c>
      <c r="F17" s="100"/>
      <c r="G17" s="24"/>
      <c r="H17" s="128"/>
    </row>
    <row r="18" spans="1:8" x14ac:dyDescent="0.25">
      <c r="A18" s="24"/>
      <c r="B18" t="s">
        <v>88</v>
      </c>
      <c r="C18">
        <v>131</v>
      </c>
      <c r="D18">
        <v>5</v>
      </c>
      <c r="E18" s="38" t="s">
        <v>30</v>
      </c>
      <c r="F18" s="100"/>
      <c r="G18" s="24"/>
      <c r="H18" s="128"/>
    </row>
    <row r="19" spans="1:8" x14ac:dyDescent="0.25">
      <c r="A19" s="24"/>
      <c r="B19" t="s">
        <v>89</v>
      </c>
      <c r="C19">
        <v>118</v>
      </c>
      <c r="D19">
        <v>3</v>
      </c>
      <c r="E19" s="38" t="s">
        <v>30</v>
      </c>
      <c r="F19" s="100"/>
      <c r="G19" s="24"/>
      <c r="H19" s="128"/>
    </row>
    <row r="20" spans="1:8" x14ac:dyDescent="0.25">
      <c r="A20" s="24"/>
      <c r="B20" t="s">
        <v>90</v>
      </c>
      <c r="C20">
        <v>122</v>
      </c>
      <c r="D20">
        <v>5</v>
      </c>
      <c r="E20" s="38" t="s">
        <v>30</v>
      </c>
      <c r="F20" s="100"/>
      <c r="G20" s="24"/>
      <c r="H20" s="128"/>
    </row>
    <row r="21" spans="1:8" x14ac:dyDescent="0.25">
      <c r="A21" s="24"/>
      <c r="B21" t="s">
        <v>91</v>
      </c>
      <c r="C21">
        <v>42</v>
      </c>
      <c r="D21">
        <v>4</v>
      </c>
      <c r="E21" s="38" t="s">
        <v>30</v>
      </c>
      <c r="F21" s="100"/>
      <c r="G21" s="24"/>
      <c r="H21" s="128"/>
    </row>
    <row r="22" spans="1:8" x14ac:dyDescent="0.25">
      <c r="A22" s="24"/>
      <c r="B22" t="s">
        <v>92</v>
      </c>
      <c r="C22">
        <v>107</v>
      </c>
      <c r="D22">
        <v>4</v>
      </c>
      <c r="E22" s="38" t="s">
        <v>30</v>
      </c>
      <c r="F22" s="100"/>
      <c r="G22" s="24"/>
      <c r="H22" s="128"/>
    </row>
    <row r="23" spans="1:8" x14ac:dyDescent="0.25">
      <c r="A23" s="24"/>
      <c r="B23" t="s">
        <v>93</v>
      </c>
      <c r="C23">
        <v>94</v>
      </c>
      <c r="D23">
        <v>6</v>
      </c>
      <c r="E23" s="38" t="s">
        <v>30</v>
      </c>
      <c r="F23" s="100"/>
      <c r="G23" s="24"/>
      <c r="H23" s="128"/>
    </row>
    <row r="24" spans="1:8" x14ac:dyDescent="0.25">
      <c r="A24" s="24"/>
      <c r="B24" t="s">
        <v>94</v>
      </c>
      <c r="C24">
        <v>131</v>
      </c>
      <c r="D24">
        <v>6</v>
      </c>
      <c r="E24" s="38" t="s">
        <v>30</v>
      </c>
      <c r="F24" s="100"/>
      <c r="G24" s="24"/>
      <c r="H24" s="128"/>
    </row>
    <row r="25" spans="1:8" x14ac:dyDescent="0.25">
      <c r="A25" s="24"/>
      <c r="B25" t="s">
        <v>95</v>
      </c>
      <c r="C25">
        <v>89</v>
      </c>
      <c r="D25">
        <v>5</v>
      </c>
      <c r="E25" s="38" t="s">
        <v>30</v>
      </c>
      <c r="F25" s="100"/>
      <c r="G25" s="24"/>
      <c r="H25" s="128"/>
    </row>
    <row r="26" spans="1:8" x14ac:dyDescent="0.25">
      <c r="A26" s="24"/>
      <c r="B26" t="s">
        <v>96</v>
      </c>
      <c r="C26">
        <v>125</v>
      </c>
      <c r="D26">
        <v>5</v>
      </c>
      <c r="E26" s="38" t="s">
        <v>55</v>
      </c>
      <c r="F26" s="100"/>
      <c r="G26" s="24"/>
      <c r="H26" s="128"/>
    </row>
    <row r="27" spans="1:8" x14ac:dyDescent="0.25">
      <c r="A27" s="24"/>
      <c r="B27" t="s">
        <v>97</v>
      </c>
      <c r="C27">
        <v>106</v>
      </c>
      <c r="D27">
        <v>7</v>
      </c>
      <c r="E27" s="38" t="s">
        <v>55</v>
      </c>
      <c r="F27" s="100"/>
      <c r="G27" s="24"/>
      <c r="H27" s="128"/>
    </row>
    <row r="28" spans="1:8" x14ac:dyDescent="0.25">
      <c r="A28" s="24"/>
      <c r="B28" t="s">
        <v>209</v>
      </c>
      <c r="C28">
        <v>92</v>
      </c>
      <c r="D28">
        <v>10</v>
      </c>
      <c r="E28" s="38" t="s">
        <v>55</v>
      </c>
      <c r="F28" s="100"/>
      <c r="G28" s="24"/>
      <c r="H28" s="128"/>
    </row>
    <row r="29" spans="1:8" x14ac:dyDescent="0.25">
      <c r="A29" s="24"/>
      <c r="B29" t="s">
        <v>210</v>
      </c>
      <c r="C29">
        <v>101</v>
      </c>
      <c r="D29">
        <v>8</v>
      </c>
      <c r="E29" s="38" t="s">
        <v>55</v>
      </c>
      <c r="F29" s="100"/>
      <c r="G29" s="24"/>
      <c r="H29" s="128"/>
    </row>
    <row r="30" spans="1:8" x14ac:dyDescent="0.25">
      <c r="A30" s="24"/>
      <c r="B30" t="s">
        <v>211</v>
      </c>
      <c r="C30">
        <v>38</v>
      </c>
      <c r="D30">
        <v>5</v>
      </c>
      <c r="E30" s="38" t="s">
        <v>55</v>
      </c>
      <c r="F30" s="100"/>
      <c r="G30" s="24"/>
      <c r="H30" s="128"/>
    </row>
    <row r="31" spans="1:8" x14ac:dyDescent="0.25">
      <c r="A31" s="24"/>
      <c r="B31" t="s">
        <v>212</v>
      </c>
      <c r="C31">
        <v>104</v>
      </c>
      <c r="D31">
        <v>3</v>
      </c>
      <c r="E31" s="38" t="s">
        <v>55</v>
      </c>
      <c r="F31" s="100"/>
      <c r="G31" s="24"/>
      <c r="H31" s="128"/>
    </row>
    <row r="32" spans="1:8" x14ac:dyDescent="0.25">
      <c r="A32" s="24"/>
      <c r="B32" t="s">
        <v>213</v>
      </c>
      <c r="C32">
        <v>26</v>
      </c>
      <c r="D32">
        <v>5</v>
      </c>
      <c r="E32" s="38" t="s">
        <v>55</v>
      </c>
      <c r="F32" s="100"/>
      <c r="G32" s="24"/>
      <c r="H32" s="128"/>
    </row>
    <row r="33" spans="1:11" x14ac:dyDescent="0.25">
      <c r="A33" s="24"/>
      <c r="B33" t="s">
        <v>214</v>
      </c>
      <c r="C33">
        <v>75</v>
      </c>
      <c r="D33">
        <v>2</v>
      </c>
      <c r="E33" s="38" t="s">
        <v>55</v>
      </c>
      <c r="F33" s="100"/>
      <c r="G33" s="24"/>
      <c r="H33" s="128"/>
    </row>
    <row r="34" spans="1:11" x14ac:dyDescent="0.25">
      <c r="A34" s="24"/>
      <c r="B34" t="s">
        <v>215</v>
      </c>
      <c r="C34">
        <v>114</v>
      </c>
      <c r="D34">
        <v>2</v>
      </c>
      <c r="E34" s="38" t="s">
        <v>55</v>
      </c>
      <c r="F34" s="100"/>
      <c r="G34" s="24"/>
      <c r="H34" s="128"/>
    </row>
    <row r="35" spans="1:11" x14ac:dyDescent="0.25">
      <c r="A35" s="24"/>
      <c r="B35" t="s">
        <v>216</v>
      </c>
      <c r="C35">
        <v>90</v>
      </c>
      <c r="D35">
        <v>6</v>
      </c>
      <c r="E35" s="38" t="s">
        <v>55</v>
      </c>
      <c r="F35" s="100"/>
      <c r="G35" s="24"/>
      <c r="H35" s="128"/>
    </row>
    <row r="36" spans="1:11" x14ac:dyDescent="0.25">
      <c r="A36" s="24"/>
      <c r="B36" s="24"/>
      <c r="C36" s="24"/>
      <c r="D36" s="24"/>
      <c r="E36" s="24"/>
      <c r="F36" s="100"/>
      <c r="G36" s="24"/>
    </row>
    <row r="37" spans="1:11" s="62" customFormat="1" ht="41.25" customHeight="1" x14ac:dyDescent="0.4">
      <c r="A37" s="131" t="s">
        <v>271</v>
      </c>
      <c r="B37" s="131"/>
      <c r="C37" s="131"/>
      <c r="D37" s="131"/>
      <c r="E37" s="131"/>
      <c r="F37" s="131"/>
      <c r="G37" s="76"/>
    </row>
    <row r="38" spans="1:11" ht="27" customHeight="1" x14ac:dyDescent="0.3">
      <c r="A38" s="68"/>
      <c r="B38" s="92" t="s">
        <v>71</v>
      </c>
      <c r="C38" s="71" t="s">
        <v>241</v>
      </c>
      <c r="D38" s="71" t="s">
        <v>242</v>
      </c>
      <c r="E38" s="71" t="s">
        <v>272</v>
      </c>
      <c r="F38" s="101" t="s">
        <v>273</v>
      </c>
      <c r="G38" s="69"/>
      <c r="H38" s="93"/>
      <c r="I38" s="93"/>
      <c r="J38" s="93"/>
      <c r="K38" s="93"/>
    </row>
    <row r="39" spans="1:11" x14ac:dyDescent="0.25">
      <c r="A39" s="24"/>
      <c r="B39" t="s">
        <v>101</v>
      </c>
      <c r="C39">
        <v>124</v>
      </c>
      <c r="D39">
        <v>98</v>
      </c>
      <c r="E39">
        <v>360</v>
      </c>
      <c r="F39">
        <v>300</v>
      </c>
      <c r="G39" s="70"/>
      <c r="I39" s="65"/>
    </row>
    <row r="40" spans="1:11" x14ac:dyDescent="0.25">
      <c r="A40" s="24"/>
      <c r="B40" t="s">
        <v>102</v>
      </c>
      <c r="C40">
        <v>360</v>
      </c>
      <c r="D40">
        <v>284</v>
      </c>
      <c r="E40">
        <v>900</v>
      </c>
      <c r="F40">
        <v>720</v>
      </c>
      <c r="G40" s="70"/>
      <c r="I40" s="65"/>
    </row>
    <row r="41" spans="1:11" x14ac:dyDescent="0.25">
      <c r="A41" s="24"/>
      <c r="B41" t="s">
        <v>103</v>
      </c>
      <c r="C41">
        <v>229</v>
      </c>
      <c r="D41">
        <v>292</v>
      </c>
      <c r="E41">
        <v>540</v>
      </c>
      <c r="F41">
        <v>720</v>
      </c>
      <c r="G41" s="70"/>
      <c r="I41" s="65"/>
    </row>
    <row r="42" spans="1:11" x14ac:dyDescent="0.25">
      <c r="A42" s="24"/>
      <c r="B42" t="s">
        <v>104</v>
      </c>
      <c r="C42">
        <v>321</v>
      </c>
      <c r="D42">
        <v>286</v>
      </c>
      <c r="E42">
        <v>840</v>
      </c>
      <c r="F42">
        <v>780</v>
      </c>
      <c r="G42" s="70"/>
      <c r="I42" s="65"/>
    </row>
    <row r="43" spans="1:11" x14ac:dyDescent="0.25">
      <c r="A43" s="24"/>
      <c r="B43" t="s">
        <v>105</v>
      </c>
      <c r="C43">
        <v>279</v>
      </c>
      <c r="D43">
        <v>350</v>
      </c>
      <c r="E43">
        <v>720</v>
      </c>
      <c r="F43">
        <v>900</v>
      </c>
      <c r="G43" s="70"/>
      <c r="I43" s="65"/>
    </row>
    <row r="44" spans="1:11" x14ac:dyDescent="0.25">
      <c r="A44" s="24"/>
      <c r="B44" t="s">
        <v>106</v>
      </c>
      <c r="C44">
        <v>352</v>
      </c>
      <c r="D44">
        <v>464</v>
      </c>
      <c r="E44">
        <v>780</v>
      </c>
      <c r="F44">
        <v>1380</v>
      </c>
      <c r="G44" s="70"/>
      <c r="I44" s="65"/>
    </row>
    <row r="45" spans="1:11" x14ac:dyDescent="0.25">
      <c r="A45" s="24"/>
      <c r="B45" t="s">
        <v>107</v>
      </c>
      <c r="C45">
        <v>297</v>
      </c>
      <c r="D45">
        <v>381</v>
      </c>
      <c r="E45">
        <v>780</v>
      </c>
      <c r="F45">
        <v>1020</v>
      </c>
      <c r="G45" s="70"/>
      <c r="I45" s="65"/>
    </row>
    <row r="46" spans="1:11" x14ac:dyDescent="0.25">
      <c r="A46" s="24"/>
      <c r="B46" t="s">
        <v>108</v>
      </c>
      <c r="C46">
        <v>263</v>
      </c>
      <c r="D46">
        <v>369</v>
      </c>
      <c r="E46">
        <v>660</v>
      </c>
      <c r="F46">
        <v>960</v>
      </c>
      <c r="G46" s="70"/>
      <c r="I46" s="65"/>
    </row>
    <row r="47" spans="1:11" x14ac:dyDescent="0.25">
      <c r="A47" s="24"/>
      <c r="B47" t="s">
        <v>109</v>
      </c>
      <c r="C47">
        <v>357</v>
      </c>
      <c r="D47">
        <v>365</v>
      </c>
      <c r="E47">
        <v>900</v>
      </c>
      <c r="F47">
        <v>900</v>
      </c>
      <c r="G47" s="70"/>
      <c r="I47" s="65"/>
    </row>
    <row r="48" spans="1:11" x14ac:dyDescent="0.25">
      <c r="A48" s="24"/>
      <c r="B48" t="s">
        <v>110</v>
      </c>
      <c r="C48">
        <v>311</v>
      </c>
      <c r="D48">
        <v>284</v>
      </c>
      <c r="E48">
        <v>780</v>
      </c>
      <c r="F48">
        <v>720</v>
      </c>
      <c r="G48" s="70"/>
      <c r="I48" s="65"/>
    </row>
    <row r="49" spans="1:9" x14ac:dyDescent="0.25">
      <c r="A49" s="24"/>
      <c r="B49" t="s">
        <v>111</v>
      </c>
      <c r="C49">
        <v>341</v>
      </c>
      <c r="D49">
        <v>277</v>
      </c>
      <c r="E49">
        <v>840</v>
      </c>
      <c r="F49">
        <v>600</v>
      </c>
      <c r="G49" s="70"/>
      <c r="I49" s="65"/>
    </row>
    <row r="50" spans="1:9" x14ac:dyDescent="0.25">
      <c r="A50" s="24"/>
      <c r="B50" t="s">
        <v>112</v>
      </c>
      <c r="C50">
        <v>153</v>
      </c>
      <c r="D50">
        <v>212</v>
      </c>
      <c r="E50">
        <v>420</v>
      </c>
      <c r="F50">
        <v>480</v>
      </c>
      <c r="G50" s="70"/>
      <c r="I50" s="65"/>
    </row>
    <row r="51" spans="1:9" x14ac:dyDescent="0.25">
      <c r="A51" s="24"/>
      <c r="B51" t="s">
        <v>113</v>
      </c>
      <c r="C51">
        <v>390</v>
      </c>
      <c r="D51">
        <v>319</v>
      </c>
      <c r="E51">
        <v>1020</v>
      </c>
      <c r="F51">
        <v>720</v>
      </c>
      <c r="G51" s="70"/>
      <c r="I51" s="65"/>
    </row>
    <row r="52" spans="1:9" x14ac:dyDescent="0.25">
      <c r="A52" s="24"/>
      <c r="B52" t="s">
        <v>217</v>
      </c>
      <c r="C52">
        <v>260</v>
      </c>
      <c r="D52">
        <v>218</v>
      </c>
      <c r="E52">
        <v>660</v>
      </c>
      <c r="F52">
        <v>540</v>
      </c>
      <c r="G52" s="70"/>
      <c r="I52" s="65"/>
    </row>
    <row r="53" spans="1:9" x14ac:dyDescent="0.25">
      <c r="A53" s="24"/>
      <c r="B53" t="s">
        <v>218</v>
      </c>
      <c r="C53">
        <v>215</v>
      </c>
      <c r="D53">
        <v>238</v>
      </c>
      <c r="E53">
        <v>540</v>
      </c>
      <c r="F53">
        <v>600</v>
      </c>
      <c r="G53" s="70"/>
      <c r="I53" s="65"/>
    </row>
    <row r="54" spans="1:9" x14ac:dyDescent="0.25">
      <c r="A54" s="24"/>
      <c r="B54" t="s">
        <v>219</v>
      </c>
      <c r="C54">
        <v>468</v>
      </c>
      <c r="D54">
        <v>312</v>
      </c>
      <c r="E54">
        <v>1200</v>
      </c>
      <c r="F54">
        <v>660</v>
      </c>
      <c r="G54" s="70"/>
      <c r="I54" s="65"/>
    </row>
    <row r="55" spans="1:9" x14ac:dyDescent="0.25">
      <c r="A55" s="24"/>
      <c r="B55" t="s">
        <v>220</v>
      </c>
      <c r="C55">
        <v>528</v>
      </c>
      <c r="D55">
        <v>676</v>
      </c>
      <c r="E55">
        <v>1260</v>
      </c>
      <c r="F55">
        <v>1620</v>
      </c>
      <c r="G55" s="70"/>
      <c r="I55" s="65"/>
    </row>
    <row r="56" spans="1:9" x14ac:dyDescent="0.25">
      <c r="A56" s="24"/>
      <c r="B56" t="s">
        <v>221</v>
      </c>
      <c r="C56">
        <v>232</v>
      </c>
      <c r="D56">
        <v>266</v>
      </c>
      <c r="E56">
        <v>600</v>
      </c>
      <c r="F56">
        <v>840</v>
      </c>
      <c r="G56" s="70"/>
      <c r="I56" s="65"/>
    </row>
    <row r="57" spans="1:9" x14ac:dyDescent="0.25">
      <c r="A57" s="24"/>
      <c r="B57" t="s">
        <v>222</v>
      </c>
      <c r="C57">
        <v>304</v>
      </c>
      <c r="D57">
        <v>225</v>
      </c>
      <c r="E57">
        <v>780</v>
      </c>
      <c r="F57">
        <v>600</v>
      </c>
      <c r="G57" s="70"/>
      <c r="I57" s="65"/>
    </row>
    <row r="58" spans="1:9" x14ac:dyDescent="0.25">
      <c r="A58" s="24"/>
      <c r="B58" t="s">
        <v>223</v>
      </c>
      <c r="C58">
        <v>459</v>
      </c>
      <c r="D58">
        <v>395</v>
      </c>
      <c r="E58">
        <v>1080</v>
      </c>
      <c r="F58">
        <v>1080</v>
      </c>
      <c r="G58" s="70"/>
      <c r="I58" s="65"/>
    </row>
    <row r="59" spans="1:9" x14ac:dyDescent="0.25">
      <c r="A59" s="24"/>
      <c r="B59" s="24"/>
      <c r="C59" s="24"/>
      <c r="D59" s="24"/>
      <c r="E59" s="24"/>
      <c r="F59" s="70"/>
      <c r="G59" s="70"/>
      <c r="I59" s="65"/>
    </row>
    <row r="60" spans="1:9" s="62" customFormat="1" ht="41.25" customHeight="1" x14ac:dyDescent="0.4">
      <c r="A60" s="130" t="s">
        <v>190</v>
      </c>
      <c r="B60" s="130"/>
      <c r="C60" s="130"/>
      <c r="D60" s="130"/>
      <c r="E60" s="130"/>
      <c r="F60" s="130"/>
      <c r="G60" s="76"/>
      <c r="H60" s="63"/>
      <c r="I60" s="63"/>
    </row>
    <row r="61" spans="1:9" ht="44.25" customHeight="1" x14ac:dyDescent="0.35">
      <c r="A61" s="24"/>
      <c r="B61" s="71" t="s">
        <v>28</v>
      </c>
      <c r="C61" s="71" t="s">
        <v>114</v>
      </c>
      <c r="D61" s="71" t="s">
        <v>115</v>
      </c>
      <c r="E61" s="71" t="s">
        <v>116</v>
      </c>
      <c r="F61" s="100"/>
      <c r="G61" s="72"/>
      <c r="H61" s="62"/>
      <c r="I61" s="62"/>
    </row>
    <row r="62" spans="1:9" x14ac:dyDescent="0.25">
      <c r="A62" s="24"/>
      <c r="B62" t="s">
        <v>21</v>
      </c>
      <c r="C62" s="96">
        <v>0.14000000000000001</v>
      </c>
      <c r="D62" s="96">
        <v>0</v>
      </c>
      <c r="E62" s="96">
        <v>0</v>
      </c>
      <c r="F62" s="100"/>
      <c r="G62" s="24"/>
    </row>
    <row r="63" spans="1:9" x14ac:dyDescent="0.25">
      <c r="A63" s="24"/>
      <c r="B63" t="s">
        <v>22</v>
      </c>
      <c r="C63" s="96">
        <v>0.21</v>
      </c>
      <c r="D63" s="96">
        <v>0.01</v>
      </c>
      <c r="E63" s="96">
        <v>0.02</v>
      </c>
      <c r="F63" s="100"/>
      <c r="G63" s="24"/>
    </row>
    <row r="64" spans="1:9" x14ac:dyDescent="0.25">
      <c r="A64" s="24"/>
      <c r="B64" t="s">
        <v>23</v>
      </c>
      <c r="C64" s="96">
        <v>0.03</v>
      </c>
      <c r="D64" s="96">
        <v>0.77</v>
      </c>
      <c r="E64" s="96">
        <v>7.0000000000000007E-2</v>
      </c>
      <c r="F64" s="100"/>
      <c r="G64" s="24"/>
    </row>
    <row r="65" spans="1:9" x14ac:dyDescent="0.25">
      <c r="A65" s="24"/>
      <c r="B65" t="s">
        <v>24</v>
      </c>
      <c r="C65" s="96">
        <v>0.03</v>
      </c>
      <c r="D65" s="96">
        <v>0.01</v>
      </c>
      <c r="E65" s="96">
        <v>0.25</v>
      </c>
      <c r="F65" s="100"/>
      <c r="G65" s="24"/>
    </row>
    <row r="66" spans="1:9" x14ac:dyDescent="0.25">
      <c r="A66" s="24"/>
      <c r="B66" t="s">
        <v>25</v>
      </c>
      <c r="C66" s="96">
        <v>0.56999999999999995</v>
      </c>
      <c r="D66" s="96">
        <v>0.21</v>
      </c>
      <c r="E66" s="96">
        <v>0.66</v>
      </c>
      <c r="F66" s="100"/>
      <c r="G66" s="24"/>
    </row>
    <row r="67" spans="1:9" x14ac:dyDescent="0.25">
      <c r="A67" s="24"/>
      <c r="B67" t="s">
        <v>26</v>
      </c>
      <c r="C67" s="96">
        <v>0.02</v>
      </c>
      <c r="D67" s="96">
        <v>0</v>
      </c>
      <c r="E67" s="96">
        <v>0</v>
      </c>
      <c r="F67" s="100"/>
      <c r="G67" s="24"/>
    </row>
    <row r="68" spans="1:9" x14ac:dyDescent="0.25">
      <c r="A68" s="24"/>
      <c r="B68" t="s">
        <v>117</v>
      </c>
      <c r="C68" s="96">
        <v>1</v>
      </c>
      <c r="D68" s="96">
        <v>1</v>
      </c>
      <c r="E68" s="96">
        <v>1</v>
      </c>
      <c r="F68" s="100"/>
      <c r="G68" s="24"/>
    </row>
    <row r="69" spans="1:9" x14ac:dyDescent="0.25">
      <c r="A69" s="24"/>
      <c r="B69" s="24"/>
      <c r="C69" s="24"/>
      <c r="D69" s="24"/>
      <c r="E69" s="24"/>
      <c r="F69" s="100"/>
      <c r="G69" s="24"/>
    </row>
    <row r="70" spans="1:9" s="62" customFormat="1" ht="91.5" customHeight="1" x14ac:dyDescent="0.4">
      <c r="A70" s="130" t="s">
        <v>191</v>
      </c>
      <c r="B70" s="130"/>
      <c r="C70" s="130"/>
      <c r="D70" s="130"/>
      <c r="E70" s="130"/>
      <c r="F70" s="130"/>
      <c r="G70" s="76"/>
      <c r="H70" s="63"/>
      <c r="I70" s="63"/>
    </row>
    <row r="71" spans="1:9" ht="25.5" customHeight="1" x14ac:dyDescent="0.35">
      <c r="A71" s="24"/>
      <c r="B71" s="178" t="s">
        <v>118</v>
      </c>
      <c r="C71" s="178"/>
      <c r="D71"/>
      <c r="E71"/>
      <c r="F71"/>
      <c r="G71" s="24"/>
      <c r="H71" s="62"/>
      <c r="I71" s="62"/>
    </row>
    <row r="72" spans="1:9" x14ac:dyDescent="0.25">
      <c r="A72" s="24"/>
      <c r="B72"/>
      <c r="C72" t="s">
        <v>46</v>
      </c>
      <c r="D72">
        <v>369</v>
      </c>
      <c r="E72"/>
      <c r="G72" s="24"/>
    </row>
    <row r="73" spans="1:9" x14ac:dyDescent="0.25">
      <c r="A73" s="24"/>
      <c r="B73"/>
      <c r="C73" t="s">
        <v>47</v>
      </c>
      <c r="D73">
        <v>14</v>
      </c>
      <c r="E73"/>
      <c r="G73" s="24"/>
    </row>
    <row r="74" spans="1:9" x14ac:dyDescent="0.25">
      <c r="A74" s="24"/>
      <c r="B74"/>
      <c r="C74" t="s">
        <v>48</v>
      </c>
      <c r="D74">
        <v>14</v>
      </c>
      <c r="E74"/>
      <c r="G74" s="24"/>
    </row>
    <row r="75" spans="1:9" x14ac:dyDescent="0.25">
      <c r="A75" s="24"/>
      <c r="B75"/>
      <c r="C75"/>
      <c r="D75"/>
      <c r="E75"/>
      <c r="G75" s="24"/>
    </row>
    <row r="76" spans="1:9" ht="25.5" customHeight="1" x14ac:dyDescent="0.3">
      <c r="A76" s="24"/>
      <c r="B76" s="178" t="s">
        <v>119</v>
      </c>
      <c r="C76" s="178"/>
      <c r="D76"/>
      <c r="E76"/>
      <c r="G76" s="24"/>
    </row>
    <row r="77" spans="1:9" ht="13" x14ac:dyDescent="0.3">
      <c r="A77" s="24"/>
      <c r="B77"/>
      <c r="C77" s="94" t="s">
        <v>120</v>
      </c>
      <c r="D77" s="103" t="s">
        <v>49</v>
      </c>
      <c r="E77" s="103" t="s">
        <v>348</v>
      </c>
      <c r="G77" s="24"/>
    </row>
    <row r="78" spans="1:9" x14ac:dyDescent="0.25">
      <c r="A78" s="24"/>
      <c r="B78"/>
      <c r="C78" t="s">
        <v>122</v>
      </c>
      <c r="D78">
        <v>6</v>
      </c>
      <c r="E78" s="38" t="s">
        <v>346</v>
      </c>
      <c r="G78" s="24"/>
    </row>
    <row r="79" spans="1:9" x14ac:dyDescent="0.25">
      <c r="A79" s="24"/>
      <c r="B79"/>
      <c r="C79" t="s">
        <v>123</v>
      </c>
      <c r="D79">
        <v>2</v>
      </c>
      <c r="E79" s="38" t="s">
        <v>210</v>
      </c>
      <c r="G79" s="24"/>
    </row>
    <row r="80" spans="1:9" x14ac:dyDescent="0.25">
      <c r="A80" s="24"/>
      <c r="B80"/>
      <c r="C80"/>
      <c r="D80"/>
      <c r="E80" s="38"/>
      <c r="G80" s="24"/>
    </row>
    <row r="81" spans="1:9" ht="25.5" customHeight="1" x14ac:dyDescent="0.3">
      <c r="A81" s="24"/>
      <c r="B81" s="178" t="s">
        <v>124</v>
      </c>
      <c r="C81" s="178"/>
      <c r="D81"/>
      <c r="E81" s="38"/>
      <c r="G81" s="24"/>
    </row>
    <row r="82" spans="1:9" ht="13" x14ac:dyDescent="0.3">
      <c r="A82" s="24"/>
      <c r="B82"/>
      <c r="C82" s="94" t="s">
        <v>50</v>
      </c>
      <c r="D82" s="103" t="s">
        <v>49</v>
      </c>
      <c r="E82" s="103" t="s">
        <v>348</v>
      </c>
      <c r="G82" s="24"/>
    </row>
    <row r="83" spans="1:9" x14ac:dyDescent="0.25">
      <c r="A83" s="24"/>
      <c r="B83"/>
      <c r="C83" t="s">
        <v>125</v>
      </c>
      <c r="D83">
        <v>5</v>
      </c>
      <c r="E83" s="38" t="s">
        <v>89</v>
      </c>
      <c r="G83" s="24"/>
    </row>
    <row r="84" spans="1:9" x14ac:dyDescent="0.25">
      <c r="A84" s="24"/>
      <c r="B84"/>
      <c r="C84" t="s">
        <v>126</v>
      </c>
      <c r="D84">
        <v>2</v>
      </c>
      <c r="E84" s="38" t="s">
        <v>86</v>
      </c>
      <c r="G84" s="24"/>
      <c r="I84" s="64"/>
    </row>
    <row r="85" spans="1:9" x14ac:dyDescent="0.25">
      <c r="A85" s="24"/>
      <c r="B85"/>
      <c r="C85" t="s">
        <v>127</v>
      </c>
      <c r="D85">
        <v>4</v>
      </c>
      <c r="E85" s="38" t="s">
        <v>92</v>
      </c>
      <c r="G85" s="24"/>
    </row>
    <row r="86" spans="1:9" x14ac:dyDescent="0.25">
      <c r="A86" s="24"/>
      <c r="B86"/>
      <c r="C86" t="s">
        <v>128</v>
      </c>
      <c r="D86">
        <v>3</v>
      </c>
      <c r="E86" s="38" t="s">
        <v>90</v>
      </c>
      <c r="G86" s="24"/>
    </row>
    <row r="87" spans="1:9" x14ac:dyDescent="0.25">
      <c r="A87" s="24"/>
      <c r="B87"/>
      <c r="C87" t="s">
        <v>129</v>
      </c>
      <c r="D87">
        <v>5</v>
      </c>
      <c r="E87" s="38" t="s">
        <v>339</v>
      </c>
      <c r="G87" s="24"/>
    </row>
    <row r="88" spans="1:9" x14ac:dyDescent="0.25">
      <c r="A88" s="24"/>
      <c r="B88"/>
      <c r="C88" t="s">
        <v>130</v>
      </c>
      <c r="D88">
        <v>7</v>
      </c>
      <c r="E88" s="38" t="s">
        <v>343</v>
      </c>
      <c r="G88" s="24"/>
    </row>
    <row r="89" spans="1:9" x14ac:dyDescent="0.25">
      <c r="F89" s="102"/>
    </row>
  </sheetData>
  <sheetProtection password="E851" sheet="1" objects="1" scenarios="1"/>
  <mergeCells count="7">
    <mergeCell ref="B76:C76"/>
    <mergeCell ref="B81:C81"/>
    <mergeCell ref="A70:F70"/>
    <mergeCell ref="A1:F1"/>
    <mergeCell ref="A37:F37"/>
    <mergeCell ref="A60:F60"/>
    <mergeCell ref="B71:C71"/>
  </mergeCells>
  <phoneticPr fontId="0" type="noConversion"/>
  <pageMargins left="0.75" right="0.75" top="1" bottom="1" header="0.5" footer="0.5"/>
  <pageSetup orientation="portrait" r:id="rId1"/>
  <headerFooter alignWithMargins="0"/>
  <rowBreaks count="3" manualBreakCount="3">
    <brk id="35" max="16383" man="1"/>
    <brk id="59" max="16383" man="1"/>
    <brk id="69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pageSetUpPr fitToPage="1"/>
  </sheetPr>
  <dimension ref="A1:K133"/>
  <sheetViews>
    <sheetView showGridLines="0" topLeftCell="A87" workbookViewId="0">
      <selection activeCell="F98" sqref="F98"/>
    </sheetView>
  </sheetViews>
  <sheetFormatPr defaultColWidth="9.1796875" defaultRowHeight="12.5" x14ac:dyDescent="0.25"/>
  <cols>
    <col min="1" max="1" width="14.7265625" style="4" customWidth="1"/>
    <col min="2" max="2" width="15.1796875" style="4" customWidth="1"/>
    <col min="3" max="5" width="12.7265625" style="4" customWidth="1"/>
    <col min="6" max="6" width="14.1796875" style="4" customWidth="1"/>
    <col min="7" max="8" width="12.7265625" style="4" customWidth="1"/>
    <col min="9" max="16384" width="9.1796875" style="4"/>
  </cols>
  <sheetData>
    <row r="1" spans="1:8" s="32" customFormat="1" ht="20" x14ac:dyDescent="0.4">
      <c r="A1" s="135" t="s">
        <v>67</v>
      </c>
      <c r="B1" s="135"/>
      <c r="C1" s="135"/>
      <c r="D1" s="135"/>
      <c r="E1" s="135"/>
      <c r="F1" s="135"/>
      <c r="G1" s="135"/>
    </row>
    <row r="2" spans="1:8" x14ac:dyDescent="0.25">
      <c r="A2" s="4" t="s">
        <v>41</v>
      </c>
      <c r="B2" s="26"/>
      <c r="C2" s="141" t="s">
        <v>381</v>
      </c>
      <c r="D2" s="141"/>
      <c r="E2" s="141"/>
    </row>
    <row r="3" spans="1:8" hidden="1" x14ac:dyDescent="0.25">
      <c r="A3" s="4" t="s">
        <v>42</v>
      </c>
      <c r="B3" s="26"/>
      <c r="C3" s="142"/>
      <c r="D3" s="143"/>
      <c r="E3" s="144"/>
    </row>
    <row r="4" spans="1:8" x14ac:dyDescent="0.25">
      <c r="A4" s="4" t="s">
        <v>373</v>
      </c>
      <c r="B4" s="26"/>
      <c r="C4" s="142" t="s">
        <v>382</v>
      </c>
      <c r="D4" s="143"/>
      <c r="E4" s="144"/>
    </row>
    <row r="5" spans="1:8" ht="15.75" hidden="1" customHeight="1" x14ac:dyDescent="0.25">
      <c r="A5" s="132" t="s">
        <v>66</v>
      </c>
      <c r="B5" s="132"/>
    </row>
    <row r="6" spans="1:8" hidden="1" x14ac:dyDescent="0.25">
      <c r="A6" s="132"/>
      <c r="B6" s="132"/>
    </row>
    <row r="7" spans="1:8" ht="14.25" hidden="1" customHeight="1" x14ac:dyDescent="0.25">
      <c r="A7" s="132"/>
      <c r="B7" s="132"/>
      <c r="C7" s="133"/>
      <c r="D7" s="134"/>
    </row>
    <row r="8" spans="1:8" hidden="1" x14ac:dyDescent="0.25">
      <c r="A8" s="25"/>
      <c r="B8" s="25"/>
    </row>
    <row r="9" spans="1:8" x14ac:dyDescent="0.25">
      <c r="A9" s="4" t="s">
        <v>0</v>
      </c>
      <c r="C9" s="4">
        <f>Description!B3</f>
        <v>6</v>
      </c>
    </row>
    <row r="10" spans="1:8" x14ac:dyDescent="0.25">
      <c r="A10" s="4" t="s">
        <v>374</v>
      </c>
      <c r="C10" s="8">
        <f>Description!B4</f>
        <v>44667</v>
      </c>
      <c r="D10" s="8" t="str">
        <f>Description!C4</f>
        <v>11:55am</v>
      </c>
    </row>
    <row r="11" spans="1:8" x14ac:dyDescent="0.25">
      <c r="A11" s="5"/>
      <c r="C11" s="8"/>
      <c r="D11" s="8"/>
    </row>
    <row r="12" spans="1:8" x14ac:dyDescent="0.25">
      <c r="A12" s="5" t="s">
        <v>65</v>
      </c>
      <c r="C12" s="29" t="str">
        <f>Description!B6</f>
        <v>6.xls</v>
      </c>
    </row>
    <row r="14" spans="1:8" ht="20" hidden="1" x14ac:dyDescent="0.4">
      <c r="A14" s="3" t="s">
        <v>1</v>
      </c>
      <c r="B14" s="3"/>
      <c r="C14" s="3"/>
      <c r="D14" s="3"/>
      <c r="E14" s="3"/>
      <c r="F14" s="3"/>
      <c r="G14" s="3"/>
      <c r="H14" s="3"/>
    </row>
    <row r="15" spans="1:8" hidden="1" x14ac:dyDescent="0.25">
      <c r="A15" s="9" t="s">
        <v>27</v>
      </c>
      <c r="B15" s="4" t="s">
        <v>2</v>
      </c>
    </row>
    <row r="16" spans="1:8" hidden="1" x14ac:dyDescent="0.25">
      <c r="A16" s="9" t="s">
        <v>27</v>
      </c>
      <c r="B16" s="4" t="s">
        <v>3</v>
      </c>
    </row>
    <row r="17" spans="1:8" hidden="1" x14ac:dyDescent="0.25">
      <c r="A17" s="9" t="s">
        <v>27</v>
      </c>
      <c r="B17" s="4" t="s">
        <v>4</v>
      </c>
      <c r="C17" s="9"/>
      <c r="D17" s="9"/>
      <c r="E17" s="9"/>
      <c r="F17" s="9"/>
      <c r="G17" s="9"/>
      <c r="H17" s="9"/>
    </row>
    <row r="18" spans="1:8" hidden="1" x14ac:dyDescent="0.25">
      <c r="A18" s="9" t="s">
        <v>27</v>
      </c>
      <c r="B18" s="4" t="s">
        <v>5</v>
      </c>
    </row>
    <row r="19" spans="1:8" hidden="1" x14ac:dyDescent="0.25">
      <c r="A19" s="9" t="s">
        <v>27</v>
      </c>
      <c r="B19" s="4" t="s">
        <v>6</v>
      </c>
    </row>
    <row r="20" spans="1:8" hidden="1" x14ac:dyDescent="0.25">
      <c r="A20" s="9" t="s">
        <v>63</v>
      </c>
      <c r="B20" s="4" t="s">
        <v>10</v>
      </c>
    </row>
    <row r="21" spans="1:8" hidden="1" x14ac:dyDescent="0.25">
      <c r="A21" s="9" t="s">
        <v>63</v>
      </c>
      <c r="B21" s="4" t="s">
        <v>11</v>
      </c>
    </row>
    <row r="22" spans="1:8" hidden="1" x14ac:dyDescent="0.25">
      <c r="A22" s="9" t="s">
        <v>63</v>
      </c>
      <c r="B22" s="4" t="s">
        <v>62</v>
      </c>
    </row>
    <row r="23" spans="1:8" hidden="1" x14ac:dyDescent="0.25">
      <c r="A23" s="9" t="s">
        <v>63</v>
      </c>
      <c r="B23" s="4" t="s">
        <v>61</v>
      </c>
    </row>
    <row r="24" spans="1:8" hidden="1" x14ac:dyDescent="0.25">
      <c r="A24" s="9" t="s">
        <v>27</v>
      </c>
      <c r="B24" s="4" t="s">
        <v>7</v>
      </c>
    </row>
    <row r="25" spans="1:8" hidden="1" x14ac:dyDescent="0.25">
      <c r="A25" s="9" t="s">
        <v>27</v>
      </c>
      <c r="B25" s="4" t="s">
        <v>19</v>
      </c>
    </row>
    <row r="26" spans="1:8" hidden="1" x14ac:dyDescent="0.25">
      <c r="A26" s="4" t="s">
        <v>27</v>
      </c>
      <c r="B26" s="4" t="s">
        <v>17</v>
      </c>
    </row>
    <row r="27" spans="1:8" hidden="1" x14ac:dyDescent="0.25">
      <c r="A27" s="4" t="s">
        <v>27</v>
      </c>
      <c r="B27" s="4" t="s">
        <v>18</v>
      </c>
    </row>
    <row r="28" spans="1:8" hidden="1" x14ac:dyDescent="0.25">
      <c r="A28" s="4" t="s">
        <v>27</v>
      </c>
      <c r="B28" s="4" t="s">
        <v>6</v>
      </c>
    </row>
    <row r="29" spans="1:8" hidden="1" x14ac:dyDescent="0.25">
      <c r="A29" s="4" t="s">
        <v>27</v>
      </c>
      <c r="B29" s="4" t="s">
        <v>8</v>
      </c>
    </row>
    <row r="30" spans="1:8" hidden="1" x14ac:dyDescent="0.25">
      <c r="A30" s="4" t="s">
        <v>27</v>
      </c>
      <c r="B30" s="4" t="s">
        <v>9</v>
      </c>
    </row>
    <row r="31" spans="1:8" hidden="1" x14ac:dyDescent="0.25">
      <c r="A31" s="4" t="s">
        <v>27</v>
      </c>
      <c r="B31" s="4" t="s">
        <v>10</v>
      </c>
    </row>
    <row r="32" spans="1:8" hidden="1" x14ac:dyDescent="0.25">
      <c r="A32" s="4" t="s">
        <v>27</v>
      </c>
      <c r="B32" s="4" t="s">
        <v>11</v>
      </c>
    </row>
    <row r="33" spans="1:11" hidden="1" x14ac:dyDescent="0.25">
      <c r="A33" s="4" t="s">
        <v>27</v>
      </c>
      <c r="B33" s="4" t="s">
        <v>12</v>
      </c>
    </row>
    <row r="34" spans="1:11" hidden="1" x14ac:dyDescent="0.25">
      <c r="A34" s="4" t="s">
        <v>27</v>
      </c>
      <c r="B34" s="4" t="s">
        <v>13</v>
      </c>
    </row>
    <row r="35" spans="1:11" hidden="1" x14ac:dyDescent="0.25">
      <c r="A35" s="4" t="s">
        <v>27</v>
      </c>
      <c r="B35" s="4" t="s">
        <v>14</v>
      </c>
    </row>
    <row r="36" spans="1:11" hidden="1" x14ac:dyDescent="0.25">
      <c r="A36" s="4" t="s">
        <v>27</v>
      </c>
      <c r="B36" s="4" t="s">
        <v>15</v>
      </c>
    </row>
    <row r="37" spans="1:11" hidden="1" x14ac:dyDescent="0.25">
      <c r="A37" s="9" t="s">
        <v>27</v>
      </c>
      <c r="B37" s="4" t="s">
        <v>16</v>
      </c>
    </row>
    <row r="38" spans="1:11" ht="13" hidden="1" thickBot="1" x14ac:dyDescent="0.3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</row>
    <row r="39" spans="1:11" ht="20" x14ac:dyDescent="0.4">
      <c r="A39" s="3" t="s">
        <v>31</v>
      </c>
      <c r="B39" s="3"/>
      <c r="C39" s="3"/>
      <c r="D39" s="3"/>
      <c r="E39" s="3"/>
      <c r="F39" s="3"/>
      <c r="G39" s="3"/>
      <c r="H39" s="3"/>
    </row>
    <row r="40" spans="1:11" ht="26" x14ac:dyDescent="0.3">
      <c r="A40" s="47" t="s">
        <v>33</v>
      </c>
      <c r="B40" s="47" t="s">
        <v>34</v>
      </c>
      <c r="C40" s="47" t="s">
        <v>35</v>
      </c>
      <c r="D40" s="47" t="s">
        <v>36</v>
      </c>
      <c r="E40" s="145" t="s">
        <v>37</v>
      </c>
      <c r="F40" s="146"/>
      <c r="G40" s="146"/>
      <c r="H40" s="146"/>
      <c r="I40" s="146"/>
      <c r="J40" s="146"/>
      <c r="K40" s="147"/>
    </row>
    <row r="41" spans="1:11" ht="13" x14ac:dyDescent="0.25">
      <c r="A41" s="57" t="s">
        <v>163</v>
      </c>
      <c r="B41" s="52"/>
      <c r="C41" s="53"/>
      <c r="D41" s="54"/>
      <c r="E41" s="137"/>
      <c r="F41" s="137"/>
      <c r="G41" s="137"/>
      <c r="H41" s="137"/>
      <c r="I41" s="137"/>
      <c r="J41" s="137"/>
      <c r="K41" s="138"/>
    </row>
    <row r="42" spans="1:11" ht="25" x14ac:dyDescent="0.25">
      <c r="A42" s="49"/>
      <c r="B42" s="49" t="s">
        <v>164</v>
      </c>
      <c r="C42" s="13">
        <v>2</v>
      </c>
      <c r="D42" s="12"/>
      <c r="E42" s="136"/>
      <c r="F42" s="136"/>
      <c r="G42" s="136"/>
      <c r="H42" s="136"/>
      <c r="I42" s="136"/>
      <c r="J42" s="136"/>
      <c r="K42" s="136"/>
    </row>
    <row r="43" spans="1:11" x14ac:dyDescent="0.25">
      <c r="A43" s="49"/>
      <c r="B43" s="49" t="s">
        <v>165</v>
      </c>
      <c r="C43" s="13">
        <v>2</v>
      </c>
      <c r="D43" s="12"/>
      <c r="E43" s="136"/>
      <c r="F43" s="136"/>
      <c r="G43" s="136"/>
      <c r="H43" s="136"/>
      <c r="I43" s="136"/>
      <c r="J43" s="136"/>
      <c r="K43" s="136"/>
    </row>
    <row r="44" spans="1:11" ht="13" x14ac:dyDescent="0.25">
      <c r="A44" s="120" t="s">
        <v>350</v>
      </c>
      <c r="B44" s="52"/>
      <c r="C44" s="53"/>
      <c r="D44" s="54"/>
      <c r="E44" s="54"/>
      <c r="F44" s="54"/>
      <c r="G44" s="54"/>
      <c r="H44" s="54"/>
      <c r="I44" s="54"/>
      <c r="J44" s="54"/>
      <c r="K44" s="55"/>
    </row>
    <row r="45" spans="1:11" ht="25" x14ac:dyDescent="0.25">
      <c r="A45" s="119"/>
      <c r="B45" s="49" t="s">
        <v>164</v>
      </c>
      <c r="C45" s="13">
        <v>2</v>
      </c>
      <c r="D45" s="12"/>
      <c r="E45" s="54"/>
      <c r="F45" s="54"/>
      <c r="G45" s="54"/>
      <c r="H45" s="54"/>
      <c r="I45" s="54"/>
      <c r="J45" s="54"/>
      <c r="K45" s="55"/>
    </row>
    <row r="46" spans="1:11" ht="13" x14ac:dyDescent="0.25">
      <c r="A46" s="57" t="s">
        <v>166</v>
      </c>
      <c r="B46" s="52"/>
      <c r="C46" s="53"/>
      <c r="D46" s="54"/>
      <c r="E46" s="139"/>
      <c r="F46" s="139"/>
      <c r="G46" s="139"/>
      <c r="H46" s="139"/>
      <c r="I46" s="139"/>
      <c r="J46" s="139"/>
      <c r="K46" s="140"/>
    </row>
    <row r="47" spans="1:11" ht="13.5" customHeight="1" x14ac:dyDescent="0.25">
      <c r="A47" s="49"/>
      <c r="B47" s="58" t="s">
        <v>167</v>
      </c>
      <c r="C47" s="13">
        <v>2</v>
      </c>
      <c r="D47" s="12"/>
      <c r="E47" s="136"/>
      <c r="F47" s="136"/>
      <c r="G47" s="136"/>
      <c r="H47" s="136"/>
      <c r="I47" s="136"/>
      <c r="J47" s="136"/>
      <c r="K47" s="136"/>
    </row>
    <row r="48" spans="1:11" ht="25" x14ac:dyDescent="0.25">
      <c r="A48" s="49"/>
      <c r="B48" s="58" t="s">
        <v>168</v>
      </c>
      <c r="C48" s="13">
        <v>2</v>
      </c>
      <c r="D48" s="12"/>
      <c r="E48" s="136"/>
      <c r="F48" s="136"/>
      <c r="G48" s="136"/>
      <c r="H48" s="136"/>
      <c r="I48" s="136"/>
      <c r="J48" s="136"/>
      <c r="K48" s="136"/>
    </row>
    <row r="49" spans="1:11" x14ac:dyDescent="0.25">
      <c r="A49" s="49"/>
      <c r="B49" s="58" t="s">
        <v>169</v>
      </c>
      <c r="C49" s="13">
        <v>2</v>
      </c>
      <c r="D49" s="12"/>
      <c r="E49" s="136"/>
      <c r="F49" s="136"/>
      <c r="G49" s="136"/>
      <c r="H49" s="136"/>
      <c r="I49" s="136"/>
      <c r="J49" s="136"/>
      <c r="K49" s="136"/>
    </row>
    <row r="50" spans="1:11" ht="13" x14ac:dyDescent="0.25">
      <c r="A50" s="57" t="s">
        <v>170</v>
      </c>
      <c r="B50" s="52"/>
      <c r="C50" s="53"/>
      <c r="D50" s="54"/>
      <c r="E50" s="139"/>
      <c r="F50" s="139"/>
      <c r="G50" s="139"/>
      <c r="H50" s="139"/>
      <c r="I50" s="139"/>
      <c r="J50" s="139"/>
      <c r="K50" s="140"/>
    </row>
    <row r="51" spans="1:11" ht="25" x14ac:dyDescent="0.25">
      <c r="A51" s="49"/>
      <c r="B51" s="49" t="s">
        <v>171</v>
      </c>
      <c r="C51" s="13">
        <v>2</v>
      </c>
      <c r="D51" s="12"/>
      <c r="E51" s="136"/>
      <c r="F51" s="136"/>
      <c r="G51" s="136"/>
      <c r="H51" s="136"/>
      <c r="I51" s="136"/>
      <c r="J51" s="136"/>
      <c r="K51" s="136"/>
    </row>
    <row r="52" spans="1:11" ht="25" x14ac:dyDescent="0.25">
      <c r="A52" s="49"/>
      <c r="B52" s="49" t="s">
        <v>172</v>
      </c>
      <c r="C52" s="13">
        <v>2</v>
      </c>
      <c r="D52" s="12"/>
      <c r="E52" s="136"/>
      <c r="F52" s="136"/>
      <c r="G52" s="136"/>
      <c r="H52" s="136"/>
      <c r="I52" s="136"/>
      <c r="J52" s="136"/>
      <c r="K52" s="136"/>
    </row>
    <row r="53" spans="1:11" x14ac:dyDescent="0.25">
      <c r="A53" s="49"/>
      <c r="B53" s="49" t="s">
        <v>169</v>
      </c>
      <c r="C53" s="13">
        <v>2</v>
      </c>
      <c r="D53" s="12"/>
      <c r="E53" s="136"/>
      <c r="F53" s="136"/>
      <c r="G53" s="136"/>
      <c r="H53" s="136"/>
      <c r="I53" s="136"/>
      <c r="J53" s="136"/>
      <c r="K53" s="136"/>
    </row>
    <row r="54" spans="1:11" ht="13" x14ac:dyDescent="0.25">
      <c r="A54" s="57" t="s">
        <v>173</v>
      </c>
      <c r="B54" s="52"/>
      <c r="C54" s="53"/>
      <c r="D54" s="54"/>
      <c r="E54" s="139"/>
      <c r="F54" s="139"/>
      <c r="G54" s="139"/>
      <c r="H54" s="139"/>
      <c r="I54" s="139"/>
      <c r="J54" s="139"/>
      <c r="K54" s="140"/>
    </row>
    <row r="55" spans="1:11" ht="25" x14ac:dyDescent="0.25">
      <c r="A55" s="49"/>
      <c r="B55" s="49" t="s">
        <v>174</v>
      </c>
      <c r="C55" s="13">
        <v>2</v>
      </c>
      <c r="D55" s="12"/>
      <c r="E55" s="136"/>
      <c r="F55" s="136"/>
      <c r="G55" s="136"/>
      <c r="H55" s="136"/>
      <c r="I55" s="136"/>
      <c r="J55" s="136"/>
      <c r="K55" s="136"/>
    </row>
    <row r="56" spans="1:11" ht="13" x14ac:dyDescent="0.25">
      <c r="A56" s="57" t="s">
        <v>175</v>
      </c>
      <c r="B56" s="52"/>
      <c r="C56" s="53"/>
      <c r="D56" s="54"/>
      <c r="E56" s="139"/>
      <c r="F56" s="139"/>
      <c r="G56" s="139"/>
      <c r="H56" s="139"/>
      <c r="I56" s="139"/>
      <c r="J56" s="139"/>
      <c r="K56" s="140"/>
    </row>
    <row r="57" spans="1:11" ht="25" x14ac:dyDescent="0.25">
      <c r="A57" s="49"/>
      <c r="B57" s="49" t="s">
        <v>188</v>
      </c>
      <c r="C57" s="13">
        <v>0</v>
      </c>
      <c r="D57" s="12"/>
      <c r="E57" s="136"/>
      <c r="F57" s="136"/>
      <c r="G57" s="136"/>
      <c r="H57" s="136"/>
      <c r="I57" s="136"/>
      <c r="J57" s="136"/>
      <c r="K57" s="136"/>
    </row>
    <row r="58" spans="1:11" hidden="1" x14ac:dyDescent="0.25">
      <c r="A58" s="59" t="s">
        <v>176</v>
      </c>
      <c r="B58" s="50"/>
      <c r="C58" s="11">
        <v>0</v>
      </c>
      <c r="D58" s="48"/>
      <c r="E58" s="149"/>
      <c r="F58" s="150"/>
      <c r="G58" s="150"/>
      <c r="H58" s="150"/>
      <c r="I58" s="150"/>
      <c r="J58" s="150"/>
      <c r="K58" s="151"/>
    </row>
    <row r="59" spans="1:11" hidden="1" x14ac:dyDescent="0.25">
      <c r="A59" s="49"/>
      <c r="B59" s="51"/>
      <c r="C59" s="13">
        <v>0</v>
      </c>
      <c r="D59" s="12"/>
      <c r="E59" s="56"/>
      <c r="F59" s="54"/>
      <c r="G59" s="54"/>
      <c r="H59" s="54"/>
      <c r="I59" s="54"/>
      <c r="J59" s="54"/>
      <c r="K59" s="55"/>
    </row>
    <row r="60" spans="1:11" hidden="1" x14ac:dyDescent="0.25">
      <c r="A60" s="49"/>
      <c r="B60" s="51"/>
      <c r="C60" s="13"/>
      <c r="D60" s="12"/>
      <c r="E60" s="56"/>
      <c r="F60" s="54"/>
      <c r="G60" s="54"/>
      <c r="H60" s="54"/>
      <c r="I60" s="54"/>
      <c r="J60" s="54"/>
      <c r="K60" s="55"/>
    </row>
    <row r="61" spans="1:11" x14ac:dyDescent="0.25">
      <c r="A61" s="2"/>
      <c r="B61" s="14" t="s">
        <v>32</v>
      </c>
      <c r="C61" s="14">
        <f>SUM(C42:C57)</f>
        <v>20</v>
      </c>
      <c r="D61" s="12">
        <f>SUM(D42:D57)</f>
        <v>0</v>
      </c>
      <c r="E61" s="136"/>
      <c r="F61" s="136"/>
      <c r="G61" s="136"/>
      <c r="H61" s="136"/>
      <c r="I61" s="136"/>
      <c r="J61" s="136"/>
      <c r="K61" s="136"/>
    </row>
    <row r="63" spans="1:11" s="32" customFormat="1" ht="108" customHeight="1" thickBot="1" x14ac:dyDescent="0.3">
      <c r="A63" s="179" t="s">
        <v>185</v>
      </c>
      <c r="B63" s="179"/>
      <c r="C63" s="179"/>
      <c r="D63" s="179"/>
      <c r="E63" s="179"/>
      <c r="F63" s="179"/>
      <c r="G63" s="179"/>
      <c r="H63" s="179"/>
      <c r="I63" s="179"/>
    </row>
    <row r="64" spans="1:11" s="1" customFormat="1" ht="12.75" hidden="1" customHeight="1" x14ac:dyDescent="0.25">
      <c r="A64" s="104" t="s">
        <v>179</v>
      </c>
      <c r="B64" s="104"/>
      <c r="C64" s="104"/>
      <c r="D64" s="104"/>
      <c r="E64" s="104"/>
      <c r="F64" s="104"/>
      <c r="G64" s="104"/>
      <c r="H64" s="104"/>
      <c r="I64" s="105"/>
    </row>
    <row r="65" spans="1:9" s="1" customFormat="1" ht="12.75" hidden="1" customHeight="1" x14ac:dyDescent="0.25">
      <c r="A65" s="106" t="s">
        <v>180</v>
      </c>
      <c r="B65" s="106"/>
      <c r="C65" s="106"/>
      <c r="D65" s="106"/>
      <c r="E65" s="106"/>
      <c r="F65" s="106"/>
      <c r="G65" s="106"/>
      <c r="H65" s="106"/>
      <c r="I65" s="105"/>
    </row>
    <row r="66" spans="1:9" s="1" customFormat="1" ht="12.75" hidden="1" customHeight="1" x14ac:dyDescent="0.25">
      <c r="A66" s="106" t="s">
        <v>181</v>
      </c>
      <c r="B66" s="106"/>
      <c r="C66" s="106"/>
      <c r="D66" s="106"/>
      <c r="E66" s="106"/>
      <c r="F66" s="106"/>
      <c r="G66" s="106"/>
      <c r="H66" s="106"/>
      <c r="I66" s="105"/>
    </row>
    <row r="67" spans="1:9" s="1" customFormat="1" ht="12.75" hidden="1" customHeight="1" x14ac:dyDescent="0.25">
      <c r="A67" s="106" t="s">
        <v>197</v>
      </c>
      <c r="B67" s="106"/>
      <c r="C67" s="106"/>
      <c r="D67" s="106"/>
      <c r="E67" s="106"/>
      <c r="F67" s="106"/>
      <c r="G67" s="106"/>
      <c r="H67" s="106"/>
      <c r="I67" s="105"/>
    </row>
    <row r="68" spans="1:9" s="1" customFormat="1" ht="12.75" hidden="1" customHeight="1" x14ac:dyDescent="0.25">
      <c r="A68" s="106" t="s">
        <v>182</v>
      </c>
      <c r="B68" s="106"/>
      <c r="C68" s="106"/>
      <c r="D68" s="106"/>
      <c r="E68" s="106"/>
      <c r="F68" s="106"/>
      <c r="G68" s="106"/>
      <c r="H68" s="106"/>
      <c r="I68" s="105"/>
    </row>
    <row r="69" spans="1:9" s="1" customFormat="1" ht="12.75" hidden="1" customHeight="1" x14ac:dyDescent="0.25">
      <c r="A69" s="106" t="s">
        <v>183</v>
      </c>
      <c r="B69" s="106"/>
      <c r="C69" s="106"/>
      <c r="D69" s="106"/>
      <c r="E69" s="106"/>
      <c r="F69" s="106"/>
      <c r="G69" s="106"/>
      <c r="H69" s="106"/>
      <c r="I69" s="105"/>
    </row>
    <row r="70" spans="1:9" s="1" customFormat="1" ht="12.75" hidden="1" customHeight="1" x14ac:dyDescent="0.25">
      <c r="A70" s="106" t="s">
        <v>60</v>
      </c>
      <c r="B70" s="106"/>
      <c r="C70" s="106"/>
      <c r="D70" s="106"/>
      <c r="E70" s="106"/>
      <c r="F70" s="106"/>
      <c r="G70" s="106"/>
      <c r="H70" s="106"/>
      <c r="I70" s="105"/>
    </row>
    <row r="71" spans="1:9" s="1" customFormat="1" ht="12.75" hidden="1" customHeight="1" x14ac:dyDescent="0.25">
      <c r="A71" s="106" t="s">
        <v>197</v>
      </c>
      <c r="B71" s="106"/>
      <c r="C71" s="106"/>
      <c r="D71" s="106"/>
      <c r="E71" s="106"/>
      <c r="F71" s="106"/>
      <c r="G71" s="106"/>
      <c r="H71" s="106"/>
      <c r="I71" s="105"/>
    </row>
    <row r="72" spans="1:9" s="1" customFormat="1" ht="12.75" hidden="1" customHeight="1" x14ac:dyDescent="0.25">
      <c r="A72" s="106" t="s">
        <v>225</v>
      </c>
      <c r="B72" s="106"/>
      <c r="C72" s="106"/>
      <c r="D72" s="106"/>
      <c r="E72" s="106"/>
      <c r="F72" s="106"/>
      <c r="G72" s="106"/>
      <c r="H72" s="106"/>
      <c r="I72" s="105"/>
    </row>
    <row r="73" spans="1:9" s="1" customFormat="1" ht="12.75" hidden="1" customHeight="1" x14ac:dyDescent="0.25">
      <c r="A73" s="106" t="s">
        <v>57</v>
      </c>
      <c r="B73" s="106"/>
      <c r="C73" s="106"/>
      <c r="D73" s="106"/>
      <c r="E73" s="106"/>
      <c r="F73" s="106"/>
      <c r="G73" s="106"/>
      <c r="H73" s="106"/>
      <c r="I73" s="105"/>
    </row>
    <row r="74" spans="1:9" s="1" customFormat="1" ht="12.75" hidden="1" customHeight="1" x14ac:dyDescent="0.25">
      <c r="A74" s="61" t="s">
        <v>58</v>
      </c>
      <c r="B74" s="106"/>
      <c r="C74" s="106"/>
      <c r="D74" s="106"/>
      <c r="E74" s="106"/>
      <c r="F74" s="106"/>
      <c r="G74" s="106"/>
      <c r="H74" s="106"/>
      <c r="I74" s="105"/>
    </row>
    <row r="75" spans="1:9" s="1" customFormat="1" ht="12.75" hidden="1" customHeight="1" x14ac:dyDescent="0.25">
      <c r="A75" s="106" t="s">
        <v>59</v>
      </c>
      <c r="B75" s="106"/>
      <c r="C75" s="106"/>
      <c r="D75" s="106"/>
      <c r="E75" s="106"/>
      <c r="F75" s="106"/>
      <c r="G75" s="106"/>
      <c r="H75" s="106"/>
      <c r="I75" s="105"/>
    </row>
    <row r="76" spans="1:9" s="1" customFormat="1" ht="12.75" hidden="1" customHeight="1" x14ac:dyDescent="0.25">
      <c r="A76" s="106" t="s">
        <v>208</v>
      </c>
      <c r="B76" s="106"/>
      <c r="C76" s="106"/>
      <c r="D76" s="106"/>
      <c r="E76" s="106"/>
      <c r="F76" s="106"/>
      <c r="G76" s="106"/>
      <c r="H76" s="106"/>
      <c r="I76" s="105"/>
    </row>
    <row r="77" spans="1:9" s="1" customFormat="1" ht="12.75" hidden="1" customHeight="1" x14ac:dyDescent="0.25">
      <c r="A77" s="106" t="s">
        <v>197</v>
      </c>
      <c r="B77" s="106"/>
      <c r="C77" s="106"/>
      <c r="D77" s="106"/>
      <c r="E77" s="106"/>
      <c r="F77" s="106"/>
      <c r="G77" s="106"/>
      <c r="H77" s="106"/>
      <c r="I77" s="105"/>
    </row>
    <row r="78" spans="1:9" s="1" customFormat="1" ht="12.75" hidden="1" customHeight="1" x14ac:dyDescent="0.25">
      <c r="A78" s="107" t="s">
        <v>53</v>
      </c>
      <c r="B78" s="106"/>
      <c r="C78" s="106"/>
      <c r="D78" s="106"/>
      <c r="E78" s="106"/>
      <c r="F78" s="106"/>
      <c r="G78" s="106"/>
      <c r="H78" s="106"/>
      <c r="I78" s="105"/>
    </row>
    <row r="79" spans="1:9" s="1" customFormat="1" ht="12.75" hidden="1" customHeight="1" x14ac:dyDescent="0.25">
      <c r="A79" s="107" t="s">
        <v>30</v>
      </c>
      <c r="B79" s="106"/>
      <c r="C79" s="106"/>
      <c r="D79" s="106"/>
      <c r="E79" s="106"/>
      <c r="F79" s="106"/>
      <c r="G79" s="106"/>
      <c r="H79" s="106"/>
      <c r="I79" s="105"/>
    </row>
    <row r="80" spans="1:9" s="1" customFormat="1" ht="12.75" hidden="1" customHeight="1" x14ac:dyDescent="0.25">
      <c r="A80" s="107" t="s">
        <v>138</v>
      </c>
      <c r="B80" s="106"/>
      <c r="C80" s="106"/>
      <c r="D80" s="106"/>
      <c r="E80" s="106"/>
      <c r="F80" s="106"/>
      <c r="G80" s="106"/>
      <c r="H80" s="106"/>
      <c r="I80" s="105"/>
    </row>
    <row r="81" spans="1:9" s="1" customFormat="1" ht="12.75" hidden="1" customHeight="1" x14ac:dyDescent="0.25">
      <c r="A81" s="107" t="s">
        <v>54</v>
      </c>
      <c r="B81" s="106"/>
      <c r="C81" s="106"/>
      <c r="D81" s="106"/>
      <c r="E81" s="106"/>
      <c r="F81" s="106"/>
      <c r="G81" s="106"/>
      <c r="H81" s="106"/>
      <c r="I81" s="105"/>
    </row>
    <row r="82" spans="1:9" s="1" customFormat="1" ht="12.75" hidden="1" customHeight="1" x14ac:dyDescent="0.25">
      <c r="A82" s="107" t="s">
        <v>139</v>
      </c>
      <c r="B82" s="106"/>
      <c r="C82" s="106"/>
      <c r="D82" s="106"/>
      <c r="E82" s="106"/>
      <c r="F82" s="106"/>
      <c r="G82" s="106"/>
      <c r="H82" s="106"/>
      <c r="I82" s="105"/>
    </row>
    <row r="83" spans="1:9" s="1" customFormat="1" ht="12.75" hidden="1" customHeight="1" x14ac:dyDescent="0.25">
      <c r="A83" s="107" t="s">
        <v>56</v>
      </c>
      <c r="B83" s="106"/>
      <c r="C83" s="106"/>
      <c r="D83" s="106"/>
      <c r="E83" s="106"/>
      <c r="F83" s="106"/>
      <c r="G83" s="106"/>
      <c r="H83" s="106"/>
      <c r="I83" s="105"/>
    </row>
    <row r="84" spans="1:9" s="1" customFormat="1" ht="12.75" hidden="1" customHeight="1" x14ac:dyDescent="0.25">
      <c r="A84" s="106" t="s">
        <v>197</v>
      </c>
      <c r="B84" s="106"/>
      <c r="C84" s="106"/>
      <c r="D84" s="106"/>
      <c r="E84" s="106"/>
      <c r="F84" s="106"/>
      <c r="G84" s="106"/>
      <c r="H84" s="106"/>
      <c r="I84" s="105"/>
    </row>
    <row r="85" spans="1:9" s="1" customFormat="1" ht="12.75" hidden="1" customHeight="1" x14ac:dyDescent="0.25">
      <c r="A85" s="106"/>
      <c r="B85" s="106"/>
      <c r="C85" s="106"/>
      <c r="D85" s="106"/>
      <c r="E85" s="106"/>
      <c r="F85" s="106"/>
      <c r="G85" s="106"/>
      <c r="H85" s="106"/>
      <c r="I85" s="105"/>
    </row>
    <row r="86" spans="1:9" s="1" customFormat="1" ht="12.75" hidden="1" customHeight="1" thickBot="1" x14ac:dyDescent="0.3">
      <c r="A86" s="106"/>
      <c r="B86" s="106"/>
      <c r="C86" s="106"/>
      <c r="D86" s="106"/>
      <c r="E86" s="106"/>
      <c r="F86" s="106"/>
      <c r="G86" s="106"/>
      <c r="H86" s="106"/>
      <c r="I86" s="105"/>
    </row>
    <row r="87" spans="1:9" s="32" customFormat="1" ht="13" x14ac:dyDescent="0.3">
      <c r="A87" s="108" t="s">
        <v>131</v>
      </c>
      <c r="B87" s="108"/>
      <c r="C87" s="108"/>
      <c r="D87" s="108"/>
      <c r="E87" s="108"/>
      <c r="F87" s="108"/>
      <c r="G87" s="108"/>
      <c r="H87" s="108"/>
      <c r="I87" s="108"/>
    </row>
    <row r="88" spans="1:9" s="32" customFormat="1" x14ac:dyDescent="0.25">
      <c r="A88" s="107"/>
      <c r="B88" s="107" t="s">
        <v>132</v>
      </c>
      <c r="C88" s="34" t="s">
        <v>133</v>
      </c>
      <c r="D88" s="34" t="s">
        <v>134</v>
      </c>
      <c r="E88" s="34" t="s">
        <v>135</v>
      </c>
      <c r="F88" s="34" t="s">
        <v>136</v>
      </c>
      <c r="G88" s="34" t="s">
        <v>137</v>
      </c>
      <c r="H88" s="34" t="s">
        <v>177</v>
      </c>
      <c r="I88" s="34"/>
    </row>
    <row r="89" spans="1:9" s="32" customFormat="1" x14ac:dyDescent="0.25">
      <c r="A89" s="107"/>
      <c r="B89" s="107" t="s">
        <v>53</v>
      </c>
      <c r="C89" s="74">
        <v>0.86527596699999998</v>
      </c>
      <c r="D89" s="74">
        <v>1.229153672</v>
      </c>
      <c r="E89" s="74">
        <v>1.593031377</v>
      </c>
      <c r="F89" s="74">
        <v>1.9569090810000001</v>
      </c>
      <c r="G89" s="74">
        <v>2.3207867860000002</v>
      </c>
      <c r="H89" s="74" t="s">
        <v>181</v>
      </c>
      <c r="I89" s="4"/>
    </row>
    <row r="90" spans="1:9" s="32" customFormat="1" x14ac:dyDescent="0.25">
      <c r="A90" s="107"/>
      <c r="B90" s="107" t="s">
        <v>30</v>
      </c>
      <c r="C90" s="74">
        <v>7.8</v>
      </c>
      <c r="D90" s="74">
        <v>15.13</v>
      </c>
      <c r="E90" s="74">
        <v>22.46</v>
      </c>
      <c r="F90" s="74">
        <v>29.797997779999999</v>
      </c>
      <c r="G90" s="74">
        <v>37.131892999999998</v>
      </c>
      <c r="H90" s="74" t="s">
        <v>180</v>
      </c>
      <c r="I90" s="4"/>
    </row>
    <row r="91" spans="1:9" s="32" customFormat="1" x14ac:dyDescent="0.25">
      <c r="A91" s="107"/>
      <c r="B91" s="107" t="s">
        <v>138</v>
      </c>
      <c r="C91" s="74">
        <v>0.59673786799999995</v>
      </c>
      <c r="D91" s="74">
        <v>0.91266360599999996</v>
      </c>
      <c r="E91" s="74">
        <v>1.23</v>
      </c>
      <c r="F91" s="74">
        <v>1.54</v>
      </c>
      <c r="G91" s="74">
        <v>1.86</v>
      </c>
      <c r="H91" s="74" t="s">
        <v>181</v>
      </c>
      <c r="I91" s="4"/>
    </row>
    <row r="92" spans="1:9" s="32" customFormat="1" x14ac:dyDescent="0.25">
      <c r="A92" s="107"/>
      <c r="B92" s="107" t="s">
        <v>54</v>
      </c>
      <c r="C92" s="74" t="s">
        <v>395</v>
      </c>
      <c r="D92" s="74" t="s">
        <v>395</v>
      </c>
      <c r="E92" s="74" t="s">
        <v>395</v>
      </c>
      <c r="F92" s="74" t="s">
        <v>395</v>
      </c>
      <c r="G92" s="74" t="s">
        <v>395</v>
      </c>
      <c r="H92" s="113" t="s">
        <v>197</v>
      </c>
      <c r="I92" s="4"/>
    </row>
    <row r="93" spans="1:9" s="32" customFormat="1" x14ac:dyDescent="0.25">
      <c r="A93" s="107"/>
      <c r="B93" s="107" t="s">
        <v>139</v>
      </c>
      <c r="C93" s="74" t="s">
        <v>395</v>
      </c>
      <c r="D93" s="74" t="s">
        <v>395</v>
      </c>
      <c r="E93" s="74" t="s">
        <v>395</v>
      </c>
      <c r="F93" s="74" t="s">
        <v>395</v>
      </c>
      <c r="G93" s="74" t="s">
        <v>395</v>
      </c>
      <c r="H93" s="113" t="s">
        <v>197</v>
      </c>
      <c r="I93" s="4"/>
    </row>
    <row r="94" spans="1:9" s="32" customFormat="1" ht="13" thickBot="1" x14ac:dyDescent="0.3">
      <c r="A94" s="107"/>
      <c r="B94" s="107" t="s">
        <v>56</v>
      </c>
      <c r="C94" s="74" t="s">
        <v>395</v>
      </c>
      <c r="D94" s="74" t="s">
        <v>395</v>
      </c>
      <c r="E94" s="74" t="s">
        <v>395</v>
      </c>
      <c r="F94" s="74" t="s">
        <v>395</v>
      </c>
      <c r="G94" s="74" t="s">
        <v>395</v>
      </c>
      <c r="H94" s="113" t="s">
        <v>197</v>
      </c>
      <c r="I94" s="4"/>
    </row>
    <row r="95" spans="1:9" s="32" customFormat="1" ht="13" x14ac:dyDescent="0.3">
      <c r="A95" s="108" t="s">
        <v>349</v>
      </c>
      <c r="B95" s="108"/>
      <c r="C95" s="108"/>
      <c r="D95" s="108"/>
      <c r="E95" s="108"/>
      <c r="F95" s="108"/>
      <c r="G95" s="108"/>
      <c r="H95" s="108"/>
      <c r="I95" s="108"/>
    </row>
    <row r="96" spans="1:9" s="1" customFormat="1" ht="12.75" customHeight="1" x14ac:dyDescent="0.25">
      <c r="A96" s="32" t="s">
        <v>119</v>
      </c>
      <c r="B96" s="32"/>
      <c r="C96" s="32"/>
      <c r="D96" s="32"/>
      <c r="E96" s="32"/>
      <c r="F96" s="106"/>
      <c r="G96" s="106"/>
      <c r="H96" s="106"/>
      <c r="I96" s="105"/>
    </row>
    <row r="97" spans="1:9" s="1" customFormat="1" ht="12.75" customHeight="1" x14ac:dyDescent="0.25">
      <c r="A97" s="32"/>
      <c r="B97" s="32" t="s">
        <v>120</v>
      </c>
      <c r="C97" s="34" t="s">
        <v>49</v>
      </c>
      <c r="D97" s="34" t="s">
        <v>29</v>
      </c>
      <c r="E97" s="109" t="s">
        <v>356</v>
      </c>
      <c r="F97" s="1" t="s">
        <v>192</v>
      </c>
      <c r="G97" s="106"/>
      <c r="H97" s="106"/>
      <c r="I97" s="105"/>
    </row>
    <row r="98" spans="1:9" s="1" customFormat="1" ht="12.75" customHeight="1" x14ac:dyDescent="0.25">
      <c r="A98" s="32"/>
      <c r="B98" s="32" t="s">
        <v>122</v>
      </c>
      <c r="C98" s="34">
        <f>Data!D78</f>
        <v>6</v>
      </c>
      <c r="D98" s="27" t="s">
        <v>53</v>
      </c>
      <c r="E98" s="110" t="s">
        <v>58</v>
      </c>
      <c r="F98" s="112">
        <v>235.06210849999999</v>
      </c>
      <c r="G98" s="106"/>
      <c r="H98" s="106"/>
      <c r="I98" s="105"/>
    </row>
    <row r="99" spans="1:9" s="1" customFormat="1" ht="12.75" customHeight="1" x14ac:dyDescent="0.25">
      <c r="A99" s="32"/>
      <c r="B99" s="32" t="s">
        <v>123</v>
      </c>
      <c r="C99" s="34">
        <f>Data!D79</f>
        <v>2</v>
      </c>
      <c r="D99" s="27" t="s">
        <v>138</v>
      </c>
      <c r="E99" s="110" t="s">
        <v>58</v>
      </c>
      <c r="F99" s="112">
        <v>33.964873050000001</v>
      </c>
      <c r="G99" s="106"/>
      <c r="H99" s="106"/>
      <c r="I99" s="105"/>
    </row>
    <row r="100" spans="1:9" s="1" customFormat="1" ht="12.75" customHeight="1" x14ac:dyDescent="0.25">
      <c r="A100" s="32"/>
      <c r="B100" s="32"/>
      <c r="C100" s="32"/>
      <c r="D100" s="32"/>
      <c r="E100" s="32"/>
      <c r="F100" s="106"/>
      <c r="G100" s="106"/>
      <c r="H100" s="106"/>
      <c r="I100" s="105"/>
    </row>
    <row r="101" spans="1:9" s="1" customFormat="1" ht="12.75" customHeight="1" x14ac:dyDescent="0.25">
      <c r="A101" s="32" t="s">
        <v>124</v>
      </c>
      <c r="B101" s="32"/>
      <c r="C101" s="32"/>
      <c r="D101" s="32"/>
      <c r="E101" s="32"/>
      <c r="F101" s="106"/>
      <c r="G101" s="106"/>
      <c r="H101" s="106"/>
      <c r="I101" s="105"/>
    </row>
    <row r="102" spans="1:9" s="1" customFormat="1" ht="12.75" customHeight="1" x14ac:dyDescent="0.25">
      <c r="A102" s="32"/>
      <c r="B102" s="32" t="s">
        <v>50</v>
      </c>
      <c r="C102" s="34" t="s">
        <v>49</v>
      </c>
      <c r="D102" s="34" t="s">
        <v>29</v>
      </c>
      <c r="E102" s="111" t="s">
        <v>356</v>
      </c>
      <c r="F102" s="106" t="s">
        <v>192</v>
      </c>
      <c r="G102" s="106"/>
      <c r="H102" s="106"/>
      <c r="I102" s="105"/>
    </row>
    <row r="103" spans="1:9" s="1" customFormat="1" ht="12.75" customHeight="1" x14ac:dyDescent="0.25">
      <c r="A103" s="32"/>
      <c r="B103" s="32" t="s">
        <v>125</v>
      </c>
      <c r="C103" s="34">
        <f>Data!D83</f>
        <v>5</v>
      </c>
      <c r="D103" s="27" t="s">
        <v>30</v>
      </c>
      <c r="E103" s="112" t="s">
        <v>208</v>
      </c>
      <c r="F103" s="110">
        <v>185.65946500000001</v>
      </c>
      <c r="G103" s="106"/>
      <c r="H103" s="106"/>
      <c r="I103" s="105"/>
    </row>
    <row r="104" spans="1:9" s="1" customFormat="1" ht="12.75" customHeight="1" x14ac:dyDescent="0.25">
      <c r="A104" s="32"/>
      <c r="B104" s="32" t="s">
        <v>126</v>
      </c>
      <c r="C104" s="34">
        <f>Data!D84</f>
        <v>2</v>
      </c>
      <c r="D104" s="27" t="s">
        <v>30</v>
      </c>
      <c r="E104" s="112" t="s">
        <v>58</v>
      </c>
      <c r="F104" s="110">
        <v>44.92</v>
      </c>
      <c r="G104" s="106"/>
      <c r="H104" s="106"/>
      <c r="I104" s="105"/>
    </row>
    <row r="105" spans="1:9" s="1" customFormat="1" ht="12.75" customHeight="1" x14ac:dyDescent="0.25">
      <c r="A105" s="32"/>
      <c r="B105" s="32" t="s">
        <v>127</v>
      </c>
      <c r="C105" s="34">
        <f>Data!D85</f>
        <v>4</v>
      </c>
      <c r="D105" s="27" t="s">
        <v>30</v>
      </c>
      <c r="E105" s="112" t="s">
        <v>59</v>
      </c>
      <c r="F105" s="110">
        <v>119.1919911</v>
      </c>
      <c r="G105" s="106"/>
      <c r="H105" s="106"/>
      <c r="I105" s="105"/>
    </row>
    <row r="106" spans="1:9" s="1" customFormat="1" ht="12.75" customHeight="1" x14ac:dyDescent="0.25">
      <c r="A106" s="32"/>
      <c r="B106" s="32" t="s">
        <v>128</v>
      </c>
      <c r="C106" s="34">
        <f>Data!D86</f>
        <v>3</v>
      </c>
      <c r="D106" s="27" t="s">
        <v>30</v>
      </c>
      <c r="E106" s="112" t="s">
        <v>58</v>
      </c>
      <c r="F106" s="110">
        <v>67.38</v>
      </c>
      <c r="G106" s="106"/>
      <c r="H106" s="106"/>
      <c r="I106" s="105"/>
    </row>
    <row r="107" spans="1:9" s="1" customFormat="1" ht="12.75" customHeight="1" x14ac:dyDescent="0.25">
      <c r="A107" s="32"/>
      <c r="B107" s="32" t="s">
        <v>129</v>
      </c>
      <c r="C107" s="34">
        <f>Data!D87</f>
        <v>5</v>
      </c>
      <c r="D107" s="27" t="s">
        <v>53</v>
      </c>
      <c r="E107" s="112" t="s">
        <v>57</v>
      </c>
      <c r="F107" s="110">
        <v>84.74687179</v>
      </c>
      <c r="G107" s="106"/>
      <c r="H107" s="106"/>
      <c r="I107" s="105"/>
    </row>
    <row r="108" spans="1:9" s="1" customFormat="1" ht="12.75" customHeight="1" thickBot="1" x14ac:dyDescent="0.3">
      <c r="A108" s="32"/>
      <c r="B108" s="32" t="s">
        <v>130</v>
      </c>
      <c r="C108" s="34">
        <f>Data!D88</f>
        <v>7</v>
      </c>
      <c r="D108" s="27" t="s">
        <v>53</v>
      </c>
      <c r="E108" s="112" t="s">
        <v>58</v>
      </c>
      <c r="F108" s="110">
        <v>274.2391265</v>
      </c>
      <c r="G108" s="106"/>
      <c r="H108" s="106"/>
      <c r="I108" s="105"/>
    </row>
    <row r="109" spans="1:9" s="32" customFormat="1" ht="13" x14ac:dyDescent="0.3">
      <c r="A109" s="114" t="s">
        <v>45</v>
      </c>
      <c r="B109" s="114"/>
      <c r="C109" s="114"/>
      <c r="D109" s="114"/>
      <c r="E109" s="114"/>
      <c r="F109" s="114"/>
      <c r="G109" s="114"/>
      <c r="H109" s="114"/>
      <c r="I109" s="108"/>
    </row>
    <row r="110" spans="1:9" s="32" customFormat="1" x14ac:dyDescent="0.25">
      <c r="A110" s="107"/>
      <c r="B110" s="107" t="s">
        <v>140</v>
      </c>
      <c r="C110" s="4"/>
      <c r="D110" s="4"/>
      <c r="E110" s="4"/>
      <c r="F110" s="4"/>
      <c r="G110" s="4"/>
      <c r="H110" s="74">
        <f>F98+F99</f>
        <v>269.02698155000002</v>
      </c>
      <c r="I110" s="4" t="s">
        <v>192</v>
      </c>
    </row>
    <row r="111" spans="1:9" s="32" customFormat="1" x14ac:dyDescent="0.25">
      <c r="A111" s="107"/>
      <c r="B111" s="107" t="s">
        <v>141</v>
      </c>
      <c r="C111" s="4"/>
      <c r="D111" s="4"/>
      <c r="E111" s="4"/>
      <c r="F111" s="4"/>
      <c r="G111" s="4"/>
      <c r="H111" s="74">
        <f>F103+F104+F105+F106+F107+F108</f>
        <v>776.13745439000002</v>
      </c>
      <c r="I111" s="4" t="s">
        <v>192</v>
      </c>
    </row>
    <row r="112" spans="1:9" s="32" customFormat="1" x14ac:dyDescent="0.25">
      <c r="A112" s="107"/>
      <c r="B112" s="107" t="s">
        <v>142</v>
      </c>
      <c r="C112" s="4"/>
      <c r="D112" s="4"/>
      <c r="E112" s="4" t="s">
        <v>143</v>
      </c>
      <c r="F112" s="4"/>
      <c r="G112" s="4"/>
      <c r="H112" s="74">
        <f>H110+H111+14</f>
        <v>1059.16443594</v>
      </c>
      <c r="I112" s="4" t="s">
        <v>192</v>
      </c>
    </row>
    <row r="113" spans="1:9" s="32" customFormat="1" ht="15.5" x14ac:dyDescent="0.4">
      <c r="A113" s="107"/>
      <c r="B113" s="107" t="s">
        <v>144</v>
      </c>
      <c r="C113" s="4"/>
      <c r="D113" s="4"/>
      <c r="E113" s="4" t="s">
        <v>145</v>
      </c>
      <c r="F113" s="4"/>
      <c r="G113" s="4"/>
      <c r="H113" s="74">
        <v>49.629300000000001</v>
      </c>
      <c r="I113" s="4"/>
    </row>
    <row r="114" spans="1:9" s="32" customFormat="1" ht="15.5" x14ac:dyDescent="0.4">
      <c r="A114" s="107"/>
      <c r="B114" s="107" t="s">
        <v>144</v>
      </c>
      <c r="C114" s="4"/>
      <c r="D114" s="4"/>
      <c r="E114" s="4" t="s">
        <v>146</v>
      </c>
      <c r="F114" s="4"/>
      <c r="G114" s="4"/>
      <c r="H114" s="74">
        <v>0.85189999999999999</v>
      </c>
      <c r="I114" s="4"/>
    </row>
    <row r="115" spans="1:9" s="32" customFormat="1" ht="15.5" x14ac:dyDescent="0.4">
      <c r="A115" s="107"/>
      <c r="B115" s="107" t="s">
        <v>51</v>
      </c>
      <c r="C115" s="4"/>
      <c r="D115" s="4"/>
      <c r="E115" s="4" t="s">
        <v>147</v>
      </c>
      <c r="F115" s="4"/>
      <c r="G115" s="4"/>
      <c r="H115" s="115">
        <f>H113+H114*H112</f>
        <v>951.9314829772859</v>
      </c>
      <c r="I115" s="4" t="s">
        <v>192</v>
      </c>
    </row>
    <row r="116" spans="1:9" s="32" customFormat="1" x14ac:dyDescent="0.25">
      <c r="A116" s="107"/>
      <c r="B116" s="107" t="s">
        <v>52</v>
      </c>
      <c r="C116" s="4"/>
      <c r="D116" s="4"/>
      <c r="E116" s="4" t="s">
        <v>148</v>
      </c>
      <c r="F116" s="4"/>
      <c r="G116" s="4"/>
      <c r="H116" s="115">
        <f>H115+369-14-14</f>
        <v>1292.9314829772859</v>
      </c>
      <c r="I116" s="4" t="s">
        <v>192</v>
      </c>
    </row>
    <row r="117" spans="1:9" s="32" customFormat="1" ht="15.5" x14ac:dyDescent="0.4">
      <c r="A117" s="107"/>
      <c r="B117" s="107" t="s">
        <v>149</v>
      </c>
      <c r="C117" s="4"/>
      <c r="D117" s="4"/>
      <c r="E117" s="4" t="s">
        <v>150</v>
      </c>
      <c r="F117" s="4"/>
      <c r="G117" s="4"/>
      <c r="H117" s="74">
        <v>168.56100000000001</v>
      </c>
      <c r="I117" s="4" t="s">
        <v>192</v>
      </c>
    </row>
    <row r="118" spans="1:9" s="32" customFormat="1" ht="15.5" x14ac:dyDescent="0.4">
      <c r="A118" s="107"/>
      <c r="B118" s="107" t="s">
        <v>151</v>
      </c>
      <c r="C118" s="4"/>
      <c r="D118" s="4"/>
      <c r="E118" s="4" t="s">
        <v>152</v>
      </c>
      <c r="F118" s="4"/>
      <c r="G118" s="4"/>
      <c r="H118" s="74">
        <v>1120.56</v>
      </c>
      <c r="I118" s="4" t="s">
        <v>192</v>
      </c>
    </row>
    <row r="119" spans="1:9" s="32" customFormat="1" ht="15.5" x14ac:dyDescent="0.4">
      <c r="A119" s="107"/>
      <c r="B119" s="107" t="s">
        <v>153</v>
      </c>
      <c r="C119" s="4"/>
      <c r="D119" s="4"/>
      <c r="E119" s="4" t="s">
        <v>154</v>
      </c>
      <c r="F119" s="4"/>
      <c r="G119" s="4"/>
      <c r="H119" s="74">
        <v>783.43899999999996</v>
      </c>
      <c r="I119" s="4" t="s">
        <v>192</v>
      </c>
    </row>
    <row r="120" spans="1:9" s="32" customFormat="1" ht="13" x14ac:dyDescent="0.3">
      <c r="A120" s="114" t="s">
        <v>155</v>
      </c>
      <c r="B120" s="114"/>
      <c r="C120" s="114"/>
      <c r="D120" s="114"/>
      <c r="E120" s="114"/>
      <c r="F120" s="114"/>
      <c r="G120" s="114"/>
      <c r="H120" s="114"/>
      <c r="I120" s="116"/>
    </row>
    <row r="121" spans="1:9" s="32" customFormat="1" ht="15.75" customHeight="1" x14ac:dyDescent="0.25">
      <c r="A121" s="107"/>
      <c r="B121" s="107" t="s">
        <v>60</v>
      </c>
      <c r="C121" s="4"/>
      <c r="D121" s="4"/>
      <c r="E121" s="4" t="s">
        <v>156</v>
      </c>
      <c r="F121" s="4"/>
      <c r="G121" s="4"/>
      <c r="H121" s="74"/>
      <c r="I121" s="5" t="s">
        <v>193</v>
      </c>
    </row>
    <row r="122" spans="1:9" s="32" customFormat="1" ht="16.5" customHeight="1" x14ac:dyDescent="0.25">
      <c r="A122" s="107"/>
      <c r="B122" s="107" t="s">
        <v>194</v>
      </c>
      <c r="C122" s="4"/>
      <c r="D122" s="4"/>
      <c r="E122" s="35" t="s">
        <v>178</v>
      </c>
      <c r="F122" s="74" t="s">
        <v>366</v>
      </c>
      <c r="G122" s="117"/>
      <c r="H122" s="115"/>
      <c r="I122" s="5" t="s">
        <v>195</v>
      </c>
    </row>
    <row r="123" spans="1:9" s="32" customFormat="1" ht="15.5" x14ac:dyDescent="0.4">
      <c r="A123" s="107"/>
      <c r="B123" s="107" t="s">
        <v>157</v>
      </c>
      <c r="C123" s="4"/>
      <c r="D123" s="4"/>
      <c r="E123" s="4" t="s">
        <v>158</v>
      </c>
      <c r="F123" s="4"/>
      <c r="G123" s="4"/>
      <c r="H123" s="115"/>
      <c r="I123" s="5" t="s">
        <v>195</v>
      </c>
    </row>
    <row r="124" spans="1:9" s="32" customFormat="1" ht="15.5" x14ac:dyDescent="0.4">
      <c r="A124" s="107"/>
      <c r="B124" s="107" t="s">
        <v>159</v>
      </c>
      <c r="C124" s="4"/>
      <c r="D124" s="4"/>
      <c r="E124" s="4" t="s">
        <v>160</v>
      </c>
      <c r="F124" s="4"/>
      <c r="G124" s="4"/>
      <c r="H124" s="115"/>
      <c r="I124" s="5" t="s">
        <v>195</v>
      </c>
    </row>
    <row r="125" spans="1:9" s="32" customFormat="1" ht="15.5" x14ac:dyDescent="0.4">
      <c r="A125" s="107"/>
      <c r="B125" s="107" t="s">
        <v>161</v>
      </c>
      <c r="C125" s="4"/>
      <c r="D125" s="4"/>
      <c r="E125" s="4" t="s">
        <v>162</v>
      </c>
      <c r="F125" s="4"/>
      <c r="G125" s="4"/>
      <c r="H125" s="115"/>
      <c r="I125" s="5" t="s">
        <v>195</v>
      </c>
    </row>
    <row r="126" spans="1:9" s="32" customFormat="1" ht="13" x14ac:dyDescent="0.3">
      <c r="A126" s="118" t="s">
        <v>196</v>
      </c>
      <c r="B126" s="118"/>
      <c r="C126" s="97"/>
      <c r="D126" s="97"/>
      <c r="E126" s="97"/>
      <c r="F126" s="97"/>
      <c r="G126" s="97"/>
      <c r="H126" s="97"/>
      <c r="I126" s="4"/>
    </row>
    <row r="127" spans="1:9" s="32" customFormat="1" x14ac:dyDescent="0.25">
      <c r="A127" s="107"/>
      <c r="B127" s="107" t="s">
        <v>21</v>
      </c>
      <c r="C127" s="115"/>
      <c r="D127" s="117" t="s">
        <v>195</v>
      </c>
      <c r="E127" s="117"/>
      <c r="F127" s="117"/>
      <c r="G127" s="117"/>
      <c r="H127" s="4"/>
      <c r="I127" s="4"/>
    </row>
    <row r="128" spans="1:9" s="32" customFormat="1" x14ac:dyDescent="0.25">
      <c r="A128" s="107"/>
      <c r="B128" s="107" t="s">
        <v>22</v>
      </c>
      <c r="C128" s="115"/>
      <c r="D128" s="117" t="s">
        <v>195</v>
      </c>
      <c r="E128" s="117"/>
      <c r="F128" s="117"/>
      <c r="G128" s="117"/>
      <c r="H128" s="4"/>
      <c r="I128" s="4"/>
    </row>
    <row r="129" spans="1:9" s="32" customFormat="1" x14ac:dyDescent="0.25">
      <c r="A129" s="107"/>
      <c r="B129" s="107" t="s">
        <v>23</v>
      </c>
      <c r="C129" s="115"/>
      <c r="D129" s="117" t="s">
        <v>195</v>
      </c>
      <c r="E129" s="117"/>
      <c r="F129" s="117"/>
      <c r="G129" s="117"/>
      <c r="H129" s="4"/>
      <c r="I129" s="4"/>
    </row>
    <row r="130" spans="1:9" s="32" customFormat="1" x14ac:dyDescent="0.25">
      <c r="A130" s="107"/>
      <c r="B130" s="107" t="s">
        <v>24</v>
      </c>
      <c r="C130" s="115"/>
      <c r="D130" s="117" t="s">
        <v>195</v>
      </c>
      <c r="E130" s="117"/>
      <c r="F130" s="117"/>
      <c r="G130" s="117"/>
      <c r="H130" s="4"/>
      <c r="I130" s="4"/>
    </row>
    <row r="131" spans="1:9" s="32" customFormat="1" x14ac:dyDescent="0.25">
      <c r="A131" s="107"/>
      <c r="B131" s="107" t="s">
        <v>25</v>
      </c>
      <c r="C131" s="115"/>
      <c r="D131" s="117" t="s">
        <v>195</v>
      </c>
      <c r="E131" s="117"/>
      <c r="F131" s="117"/>
      <c r="G131" s="117"/>
      <c r="H131" s="4"/>
      <c r="I131" s="4"/>
    </row>
    <row r="132" spans="1:9" s="32" customFormat="1" x14ac:dyDescent="0.25">
      <c r="A132" s="107"/>
      <c r="B132" s="107" t="s">
        <v>26</v>
      </c>
      <c r="C132" s="115"/>
      <c r="D132" s="117" t="s">
        <v>195</v>
      </c>
      <c r="E132" s="117"/>
      <c r="F132" s="117"/>
      <c r="G132" s="117"/>
      <c r="H132" s="4"/>
      <c r="I132" s="4"/>
    </row>
    <row r="133" spans="1:9" s="32" customFormat="1" x14ac:dyDescent="0.25">
      <c r="A133" s="107"/>
      <c r="B133" s="107" t="s">
        <v>117</v>
      </c>
      <c r="C133" s="115"/>
      <c r="D133" s="117" t="s">
        <v>195</v>
      </c>
      <c r="E133" s="117"/>
      <c r="F133" s="117"/>
      <c r="G133" s="117"/>
      <c r="H133" s="4"/>
      <c r="I133" s="4"/>
    </row>
  </sheetData>
  <sheetProtection password="CB8C" sheet="1"/>
  <mergeCells count="25">
    <mergeCell ref="A5:B7"/>
    <mergeCell ref="C7:D7"/>
    <mergeCell ref="A1:G1"/>
    <mergeCell ref="E47:K47"/>
    <mergeCell ref="E41:K41"/>
    <mergeCell ref="E42:K42"/>
    <mergeCell ref="E43:K43"/>
    <mergeCell ref="E46:K46"/>
    <mergeCell ref="C2:E2"/>
    <mergeCell ref="C3:E3"/>
    <mergeCell ref="C4:E4"/>
    <mergeCell ref="E40:K40"/>
    <mergeCell ref="E61:K61"/>
    <mergeCell ref="E57:K57"/>
    <mergeCell ref="E58:K58"/>
    <mergeCell ref="E56:K56"/>
    <mergeCell ref="E55:K55"/>
    <mergeCell ref="E48:K48"/>
    <mergeCell ref="E49:K49"/>
    <mergeCell ref="E50:K50"/>
    <mergeCell ref="A63:I63"/>
    <mergeCell ref="E51:K51"/>
    <mergeCell ref="E52:K52"/>
    <mergeCell ref="E53:K53"/>
    <mergeCell ref="E54:K54"/>
  </mergeCells>
  <phoneticPr fontId="0" type="noConversion"/>
  <dataValidations count="6">
    <dataValidation type="list" allowBlank="1" showInputMessage="1" showErrorMessage="1" sqref="G122" xr:uid="{00000000-0002-0000-0500-000000000000}">
      <formula1>$B$42:$B$46</formula1>
    </dataValidation>
    <dataValidation type="list" allowBlank="1" showInputMessage="1" showErrorMessage="1" sqref="F122" xr:uid="{00000000-0002-0000-0500-000001000000}">
      <formula1>$A$68:$A$71</formula1>
    </dataValidation>
    <dataValidation type="list" allowBlank="1" showInputMessage="1" showErrorMessage="1" sqref="H89:H94" xr:uid="{00000000-0002-0000-0500-000002000000}">
      <formula1>$A$65:$A$67</formula1>
    </dataValidation>
    <dataValidation type="list" allowBlank="1" showInputMessage="1" showErrorMessage="1" sqref="D98:D99 D103:D108" xr:uid="{00000000-0002-0000-0500-000003000000}">
      <formula1>$A$78:$A$84</formula1>
    </dataValidation>
    <dataValidation type="list" allowBlank="1" showInputMessage="1" showErrorMessage="1" sqref="C7" xr:uid="{00000000-0002-0000-0500-000004000000}">
      <formula1>$B$100:$B$101</formula1>
    </dataValidation>
    <dataValidation type="list" allowBlank="1" showInputMessage="1" showErrorMessage="1" sqref="E98:E99 E103:E108" xr:uid="{00000000-0002-0000-0500-000005000000}">
      <formula1>$A$72:$A$77</formula1>
    </dataValidation>
  </dataValidations>
  <hyperlinks>
    <hyperlink ref="A15" location="InstructorAssessment4A" display="go to " xr:uid="{00000000-0004-0000-0500-000000000000}"/>
    <hyperlink ref="A16" location="ProjectPlanSummary4A" display="go to " xr:uid="{00000000-0004-0000-0500-000001000000}"/>
    <hyperlink ref="A17" location="TimeLog4A" display="go to " xr:uid="{00000000-0004-0000-0500-000002000000}"/>
    <hyperlink ref="A18" location="DefectLog4A" display="go to " xr:uid="{00000000-0004-0000-0500-000003000000}"/>
    <hyperlink ref="A24" location="TestReport4A" display="go to " xr:uid="{00000000-0004-0000-0500-000004000000}"/>
    <hyperlink ref="A25" location="LessonLearned4A" display="go to " xr:uid="{00000000-0004-0000-0500-000005000000}"/>
    <hyperlink ref="A37" location="SourceCode4A" display="go to " xr:uid="{00000000-0004-0000-0500-000006000000}"/>
    <hyperlink ref="A19" location="SizeEstimate4A" display="go to " xr:uid="{00000000-0004-0000-0500-000007000000}"/>
    <hyperlink ref="A20" location="TaskPlan6A" display="go to" xr:uid="{00000000-0004-0000-0500-000008000000}"/>
    <hyperlink ref="A21" location="Schedule6A" display="go to" xr:uid="{00000000-0004-0000-0500-000009000000}"/>
    <hyperlink ref="A22" location="OperationalSpecification6A" display="go to" xr:uid="{00000000-0004-0000-0500-00000A000000}"/>
    <hyperlink ref="A23" location="FunctionalSpecification6A" display="go to" xr:uid="{00000000-0004-0000-0500-00000B000000}"/>
  </hyperlinks>
  <pageMargins left="0.75" right="0.75" top="1" bottom="1" header="0.5" footer="0.5"/>
  <pageSetup scale="47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Q67"/>
  <sheetViews>
    <sheetView showGridLines="0" topLeftCell="A16" workbookViewId="0">
      <selection activeCell="G14" sqref="G14"/>
    </sheetView>
  </sheetViews>
  <sheetFormatPr defaultColWidth="9.1796875" defaultRowHeight="12.5" x14ac:dyDescent="0.25"/>
  <cols>
    <col min="1" max="1" width="14.7265625" style="7" customWidth="1"/>
    <col min="2" max="2" width="15.1796875" style="7" customWidth="1"/>
    <col min="3" max="5" width="12.7265625" style="7" customWidth="1"/>
    <col min="6" max="6" width="14.1796875" style="7" customWidth="1"/>
    <col min="7" max="8" width="12.7265625" style="7" customWidth="1"/>
    <col min="9" max="16384" width="9.1796875" style="7"/>
  </cols>
  <sheetData>
    <row r="1" spans="1:17" ht="15.5" x14ac:dyDescent="0.35">
      <c r="A1" s="75" t="s">
        <v>289</v>
      </c>
    </row>
    <row r="3" spans="1:17" ht="13" x14ac:dyDescent="0.3">
      <c r="A3" s="67" t="s">
        <v>404</v>
      </c>
      <c r="B3" s="67"/>
      <c r="C3" s="67"/>
      <c r="D3" s="67"/>
      <c r="E3" s="68" t="s">
        <v>378</v>
      </c>
      <c r="F3" s="7" t="s">
        <v>379</v>
      </c>
    </row>
    <row r="4" spans="1:17" x14ac:dyDescent="0.25">
      <c r="A4" t="s">
        <v>339</v>
      </c>
      <c r="B4">
        <v>93</v>
      </c>
      <c r="C4">
        <v>5</v>
      </c>
      <c r="D4" s="38" t="s">
        <v>53</v>
      </c>
      <c r="E4" s="38">
        <f>B4/C4</f>
        <v>18.600000000000001</v>
      </c>
      <c r="F4" s="7">
        <f>LOG(E4)</f>
        <v>1.2695129442179163</v>
      </c>
      <c r="L4" s="65"/>
      <c r="M4" s="65"/>
      <c r="N4" s="65"/>
      <c r="O4" s="65"/>
      <c r="P4" s="65"/>
      <c r="Q4" s="65"/>
    </row>
    <row r="5" spans="1:17" x14ac:dyDescent="0.25">
      <c r="A5" t="s">
        <v>340</v>
      </c>
      <c r="B5">
        <v>112</v>
      </c>
      <c r="C5">
        <v>1</v>
      </c>
      <c r="D5" s="38" t="s">
        <v>53</v>
      </c>
      <c r="E5" s="38">
        <f t="shared" ref="E5:E13" si="0">B5/C5</f>
        <v>112</v>
      </c>
      <c r="F5" s="7">
        <f t="shared" ref="F5:F13" si="1">LOG(E5)</f>
        <v>2.0492180226701815</v>
      </c>
      <c r="I5" s="7" t="s">
        <v>400</v>
      </c>
      <c r="L5" s="65"/>
      <c r="M5" s="65"/>
      <c r="N5" s="65"/>
      <c r="O5" s="65"/>
      <c r="P5" s="65"/>
      <c r="Q5" s="65"/>
    </row>
    <row r="6" spans="1:17" x14ac:dyDescent="0.25">
      <c r="A6" t="s">
        <v>341</v>
      </c>
      <c r="B6">
        <v>79</v>
      </c>
      <c r="C6">
        <v>1</v>
      </c>
      <c r="D6" s="38" t="s">
        <v>53</v>
      </c>
      <c r="E6" s="38">
        <f t="shared" si="0"/>
        <v>79</v>
      </c>
      <c r="F6" s="7">
        <f t="shared" si="1"/>
        <v>1.8976270912904414</v>
      </c>
      <c r="I6" s="7" t="s">
        <v>356</v>
      </c>
      <c r="J6" s="7" t="s">
        <v>401</v>
      </c>
      <c r="K6" s="7" t="s">
        <v>402</v>
      </c>
      <c r="L6" s="65"/>
      <c r="M6" s="65"/>
      <c r="N6" s="65"/>
      <c r="O6" s="65"/>
      <c r="P6" s="65"/>
      <c r="Q6" s="65"/>
    </row>
    <row r="7" spans="1:17" x14ac:dyDescent="0.25">
      <c r="A7" t="s">
        <v>342</v>
      </c>
      <c r="B7">
        <v>126</v>
      </c>
      <c r="C7">
        <v>6</v>
      </c>
      <c r="D7" s="38" t="s">
        <v>53</v>
      </c>
      <c r="E7" s="38">
        <f t="shared" si="0"/>
        <v>21</v>
      </c>
      <c r="F7" s="7">
        <f t="shared" si="1"/>
        <v>1.3222192947339193</v>
      </c>
      <c r="I7" s="7" t="s">
        <v>225</v>
      </c>
      <c r="J7" s="7">
        <v>0</v>
      </c>
      <c r="K7" s="7">
        <f>B21-1.5*B22</f>
        <v>1.0472148195481834</v>
      </c>
      <c r="L7" s="65"/>
      <c r="M7" s="65"/>
      <c r="N7" s="65"/>
      <c r="O7" s="65"/>
      <c r="P7" s="65"/>
      <c r="Q7" s="65"/>
    </row>
    <row r="8" spans="1:17" x14ac:dyDescent="0.25">
      <c r="A8" t="s">
        <v>343</v>
      </c>
      <c r="B8">
        <v>68</v>
      </c>
      <c r="C8">
        <v>1</v>
      </c>
      <c r="D8" s="38" t="s">
        <v>53</v>
      </c>
      <c r="E8" s="38">
        <f t="shared" si="0"/>
        <v>68</v>
      </c>
      <c r="F8" s="7">
        <f t="shared" si="1"/>
        <v>1.8325089127062364</v>
      </c>
      <c r="I8" s="7" t="s">
        <v>57</v>
      </c>
      <c r="J8" s="7">
        <f>B21-1.5*B22</f>
        <v>1.0472148195481834</v>
      </c>
      <c r="K8" s="7">
        <f>B21-0.5*B22</f>
        <v>1.4110925243128456</v>
      </c>
      <c r="L8" s="65"/>
      <c r="M8" s="65"/>
      <c r="N8" s="65"/>
      <c r="O8" s="65"/>
      <c r="P8" s="65"/>
      <c r="Q8" s="65"/>
    </row>
    <row r="9" spans="1:17" x14ac:dyDescent="0.25">
      <c r="A9" t="s">
        <v>344</v>
      </c>
      <c r="B9">
        <v>128</v>
      </c>
      <c r="C9">
        <v>6</v>
      </c>
      <c r="D9" s="38" t="s">
        <v>53</v>
      </c>
      <c r="E9" s="38">
        <f t="shared" si="0"/>
        <v>21.333333333333332</v>
      </c>
      <c r="F9" s="7">
        <f t="shared" si="1"/>
        <v>1.3290587192642247</v>
      </c>
      <c r="I9" s="7" t="s">
        <v>58</v>
      </c>
      <c r="J9" s="7">
        <f>B21-0.5*B22</f>
        <v>1.4110925243128456</v>
      </c>
      <c r="K9" s="7">
        <f>B16+0.5*B17</f>
        <v>75.77461984415207</v>
      </c>
      <c r="L9" s="65"/>
      <c r="M9" s="65"/>
      <c r="N9" s="65"/>
      <c r="O9" s="65"/>
      <c r="P9" s="65"/>
      <c r="Q9" s="65"/>
    </row>
    <row r="10" spans="1:17" x14ac:dyDescent="0.25">
      <c r="A10" t="s">
        <v>345</v>
      </c>
      <c r="B10">
        <v>141</v>
      </c>
      <c r="C10">
        <v>3</v>
      </c>
      <c r="D10" s="38" t="s">
        <v>53</v>
      </c>
      <c r="E10" s="38">
        <f t="shared" si="0"/>
        <v>47</v>
      </c>
      <c r="F10" s="7">
        <f t="shared" si="1"/>
        <v>1.6720978579357175</v>
      </c>
      <c r="I10" s="7" t="s">
        <v>59</v>
      </c>
      <c r="J10" s="7">
        <f>B16+0.5*B17</f>
        <v>75.77461984415207</v>
      </c>
      <c r="K10" s="7">
        <f>B16+1.5*B17</f>
        <v>118.33719286578953</v>
      </c>
      <c r="L10" s="65"/>
      <c r="M10" s="65"/>
      <c r="N10" s="65"/>
      <c r="O10" s="65"/>
      <c r="P10" s="65"/>
      <c r="Q10" s="65"/>
    </row>
    <row r="11" spans="1:17" x14ac:dyDescent="0.25">
      <c r="A11" t="s">
        <v>346</v>
      </c>
      <c r="B11">
        <v>142</v>
      </c>
      <c r="C11">
        <v>1</v>
      </c>
      <c r="D11" s="38" t="s">
        <v>53</v>
      </c>
      <c r="E11" s="38">
        <f t="shared" si="0"/>
        <v>142</v>
      </c>
      <c r="F11" s="7">
        <f t="shared" si="1"/>
        <v>2.1522883443830563</v>
      </c>
      <c r="I11" s="7" t="s">
        <v>208</v>
      </c>
      <c r="J11" s="7">
        <f>B16+1.5*B17</f>
        <v>118.33719286578953</v>
      </c>
      <c r="K11" s="7" t="s">
        <v>403</v>
      </c>
      <c r="L11" s="65"/>
      <c r="M11" s="65"/>
      <c r="N11" s="65"/>
      <c r="O11" s="65"/>
      <c r="P11" s="65"/>
      <c r="Q11" s="65"/>
    </row>
    <row r="12" spans="1:17" x14ac:dyDescent="0.25">
      <c r="A12" t="s">
        <v>347</v>
      </c>
      <c r="B12">
        <v>58</v>
      </c>
      <c r="C12">
        <v>6</v>
      </c>
      <c r="D12" s="38" t="s">
        <v>53</v>
      </c>
      <c r="E12" s="38">
        <f t="shared" si="0"/>
        <v>9.6666666666666661</v>
      </c>
      <c r="F12" s="7">
        <f t="shared" si="1"/>
        <v>0.98527674317929359</v>
      </c>
      <c r="L12" s="65"/>
      <c r="M12" s="65"/>
      <c r="N12" s="65"/>
      <c r="O12" s="65"/>
      <c r="P12" s="65"/>
      <c r="Q12" s="65"/>
    </row>
    <row r="13" spans="1:17" x14ac:dyDescent="0.25">
      <c r="A13" t="s">
        <v>82</v>
      </c>
      <c r="B13">
        <v>79</v>
      </c>
      <c r="C13">
        <v>3</v>
      </c>
      <c r="D13" s="38" t="s">
        <v>53</v>
      </c>
      <c r="E13" s="38">
        <f t="shared" si="0"/>
        <v>26.333333333333332</v>
      </c>
      <c r="F13" s="7">
        <f t="shared" si="1"/>
        <v>1.420505836570779</v>
      </c>
      <c r="L13" s="65"/>
      <c r="M13" s="65"/>
      <c r="N13" s="65"/>
      <c r="O13" s="65"/>
      <c r="P13" s="65"/>
      <c r="Q13" s="65"/>
    </row>
    <row r="14" spans="1:17" x14ac:dyDescent="0.25">
      <c r="A14" s="126"/>
      <c r="B14" s="126"/>
      <c r="C14" s="126"/>
      <c r="D14" s="127"/>
      <c r="E14" s="38"/>
      <c r="L14" s="65"/>
      <c r="M14" s="65"/>
      <c r="N14" s="65"/>
      <c r="O14" s="65"/>
      <c r="P14" s="65"/>
      <c r="Q14" s="65"/>
    </row>
    <row r="15" spans="1:17" x14ac:dyDescent="0.25">
      <c r="A15" s="126"/>
      <c r="B15" s="126"/>
      <c r="C15" s="126"/>
      <c r="D15" s="127"/>
      <c r="E15" s="38"/>
      <c r="L15" s="65"/>
      <c r="M15" s="65"/>
      <c r="N15" s="65"/>
      <c r="O15" s="65"/>
      <c r="P15" s="65"/>
      <c r="Q15" s="65"/>
    </row>
    <row r="16" spans="1:17" x14ac:dyDescent="0.25">
      <c r="A16" s="7" t="s">
        <v>383</v>
      </c>
      <c r="B16" s="7">
        <f>AVERAGE(E4:E13)</f>
        <v>54.493333333333339</v>
      </c>
      <c r="C16" s="126"/>
      <c r="D16" s="127" t="s">
        <v>225</v>
      </c>
      <c r="E16" s="38">
        <f>B16-2*B17</f>
        <v>-30.631812709941585</v>
      </c>
      <c r="L16" s="65"/>
      <c r="M16" s="65"/>
      <c r="N16" s="65"/>
      <c r="O16" s="65"/>
      <c r="P16" s="65"/>
      <c r="Q16" s="65"/>
    </row>
    <row r="17" spans="1:17" x14ac:dyDescent="0.25">
      <c r="A17" s="7" t="s">
        <v>384</v>
      </c>
      <c r="B17" s="7">
        <f>_xlfn.STDEV.P(E4:E13)</f>
        <v>42.562573021637462</v>
      </c>
      <c r="C17" s="126"/>
      <c r="D17" s="127"/>
      <c r="E17" s="38" t="s">
        <v>386</v>
      </c>
      <c r="L17" s="65"/>
      <c r="M17" s="65"/>
      <c r="N17" s="65"/>
      <c r="O17" s="65"/>
      <c r="P17" s="65"/>
      <c r="Q17" s="65"/>
    </row>
    <row r="18" spans="1:17" x14ac:dyDescent="0.25">
      <c r="A18" s="126"/>
      <c r="B18" s="126"/>
      <c r="C18" s="126"/>
      <c r="D18" s="127"/>
      <c r="E18" s="38"/>
      <c r="L18" s="65"/>
      <c r="M18" s="65"/>
      <c r="N18" s="65"/>
      <c r="O18" s="65"/>
      <c r="P18" s="65"/>
      <c r="Q18" s="65"/>
    </row>
    <row r="19" spans="1:17" x14ac:dyDescent="0.25">
      <c r="A19" s="126"/>
      <c r="B19" s="126"/>
      <c r="C19" s="126"/>
      <c r="D19" s="127"/>
      <c r="E19" s="38"/>
      <c r="L19" s="65"/>
      <c r="M19" s="65"/>
      <c r="N19" s="65"/>
      <c r="O19" s="65"/>
      <c r="P19" s="65"/>
      <c r="Q19" s="65"/>
    </row>
    <row r="20" spans="1:17" x14ac:dyDescent="0.25">
      <c r="A20" s="7" t="s">
        <v>385</v>
      </c>
      <c r="C20" s="126"/>
      <c r="D20" s="127"/>
      <c r="E20" s="38"/>
      <c r="L20" s="65"/>
      <c r="M20" s="65"/>
      <c r="N20" s="65"/>
      <c r="O20" s="65"/>
      <c r="P20" s="65"/>
      <c r="Q20" s="65"/>
    </row>
    <row r="21" spans="1:17" x14ac:dyDescent="0.25">
      <c r="A21" s="7" t="s">
        <v>383</v>
      </c>
      <c r="B21" s="7">
        <f>AVERAGE(F4:F13)</f>
        <v>1.5930313766951767</v>
      </c>
      <c r="C21" s="126"/>
      <c r="D21" s="127" t="s">
        <v>225</v>
      </c>
      <c r="E21" s="38">
        <f>B21-2*B22</f>
        <v>0.86527596716585242</v>
      </c>
      <c r="L21" s="65"/>
      <c r="M21" s="65"/>
      <c r="N21" s="65"/>
      <c r="O21" s="65"/>
      <c r="P21" s="65"/>
      <c r="Q21" s="65"/>
    </row>
    <row r="22" spans="1:17" x14ac:dyDescent="0.25">
      <c r="A22" s="7" t="s">
        <v>384</v>
      </c>
      <c r="B22" s="7">
        <f>_xlfn.STDEV.P(F4:F13)</f>
        <v>0.36387770476466214</v>
      </c>
      <c r="C22" s="126"/>
      <c r="D22" s="127" t="s">
        <v>57</v>
      </c>
      <c r="E22" s="38">
        <f>B21-B22</f>
        <v>1.2291536719305145</v>
      </c>
      <c r="L22" s="65"/>
      <c r="M22" s="65"/>
      <c r="N22" s="65"/>
      <c r="O22" s="65"/>
      <c r="P22" s="65"/>
      <c r="Q22" s="65"/>
    </row>
    <row r="23" spans="1:17" x14ac:dyDescent="0.25">
      <c r="A23" s="126"/>
      <c r="B23" s="126"/>
      <c r="C23" s="126"/>
      <c r="D23" s="127" t="s">
        <v>58</v>
      </c>
      <c r="E23" s="38">
        <f>B21</f>
        <v>1.5930313766951767</v>
      </c>
      <c r="L23" s="65"/>
      <c r="M23" s="65"/>
      <c r="N23" s="65"/>
      <c r="O23" s="65"/>
      <c r="P23" s="65"/>
      <c r="Q23" s="65"/>
    </row>
    <row r="24" spans="1:17" x14ac:dyDescent="0.25">
      <c r="A24" s="126"/>
      <c r="B24" s="126"/>
      <c r="C24" s="126"/>
      <c r="D24" s="127" t="s">
        <v>59</v>
      </c>
      <c r="E24" s="38">
        <f>B21+B22</f>
        <v>1.9569090814598389</v>
      </c>
      <c r="L24" s="65"/>
      <c r="M24" s="65"/>
      <c r="N24" s="65"/>
      <c r="O24" s="65"/>
      <c r="P24" s="65"/>
      <c r="Q24" s="65"/>
    </row>
    <row r="25" spans="1:17" x14ac:dyDescent="0.25">
      <c r="A25" s="126"/>
      <c r="B25" s="126"/>
      <c r="C25" s="126"/>
      <c r="D25" s="127" t="s">
        <v>208</v>
      </c>
      <c r="E25" s="38">
        <f>B21+2*B22</f>
        <v>2.3207867862245011</v>
      </c>
      <c r="L25" s="65"/>
      <c r="M25" s="65"/>
      <c r="N25" s="65"/>
      <c r="O25" s="65"/>
      <c r="P25" s="65"/>
      <c r="Q25" s="65"/>
    </row>
    <row r="26" spans="1:17" x14ac:dyDescent="0.25">
      <c r="A26" s="126"/>
      <c r="B26" s="126"/>
      <c r="C26" s="126"/>
      <c r="D26" s="127"/>
      <c r="E26" s="38"/>
      <c r="L26" s="65"/>
      <c r="M26" s="65"/>
      <c r="N26" s="65"/>
      <c r="O26" s="65"/>
      <c r="P26" s="65"/>
      <c r="Q26" s="65"/>
    </row>
    <row r="27" spans="1:17" ht="13" x14ac:dyDescent="0.3">
      <c r="A27" s="67" t="s">
        <v>405</v>
      </c>
      <c r="B27" s="126"/>
      <c r="C27" s="126"/>
      <c r="D27" s="127"/>
      <c r="E27" s="38"/>
      <c r="L27" s="65"/>
      <c r="M27" s="65"/>
      <c r="N27" s="65"/>
      <c r="O27" s="65"/>
      <c r="P27" s="65"/>
      <c r="Q27" s="65"/>
    </row>
    <row r="28" spans="1:17" x14ac:dyDescent="0.25">
      <c r="A28" t="s">
        <v>83</v>
      </c>
      <c r="B28">
        <v>95</v>
      </c>
      <c r="C28">
        <v>5</v>
      </c>
      <c r="D28" s="38" t="s">
        <v>30</v>
      </c>
      <c r="E28" s="38">
        <f>B28/C28</f>
        <v>19</v>
      </c>
      <c r="L28" s="65"/>
      <c r="M28" s="65"/>
      <c r="N28" s="65"/>
      <c r="O28" s="65"/>
      <c r="P28" s="65"/>
      <c r="Q28" s="65"/>
    </row>
    <row r="29" spans="1:17" x14ac:dyDescent="0.25">
      <c r="A29" t="s">
        <v>84</v>
      </c>
      <c r="B29">
        <v>127</v>
      </c>
      <c r="C29">
        <v>4</v>
      </c>
      <c r="D29" s="38" t="s">
        <v>30</v>
      </c>
      <c r="E29" s="38">
        <f t="shared" ref="E29:E40" si="2">B29/C29</f>
        <v>31.75</v>
      </c>
      <c r="L29" s="65"/>
      <c r="M29" s="65"/>
      <c r="N29" s="65"/>
      <c r="O29" s="65"/>
      <c r="P29" s="65"/>
      <c r="Q29" s="65"/>
    </row>
    <row r="30" spans="1:17" x14ac:dyDescent="0.25">
      <c r="A30" t="s">
        <v>85</v>
      </c>
      <c r="B30">
        <v>90</v>
      </c>
      <c r="C30">
        <v>6</v>
      </c>
      <c r="D30" s="38" t="s">
        <v>30</v>
      </c>
      <c r="E30" s="38">
        <f t="shared" si="2"/>
        <v>15</v>
      </c>
      <c r="L30" s="65"/>
      <c r="M30" s="65"/>
      <c r="N30" s="65"/>
      <c r="O30" s="65"/>
      <c r="P30" s="65"/>
      <c r="Q30" s="65"/>
    </row>
    <row r="31" spans="1:17" x14ac:dyDescent="0.25">
      <c r="A31" t="s">
        <v>86</v>
      </c>
      <c r="B31">
        <v>122</v>
      </c>
      <c r="C31">
        <v>5</v>
      </c>
      <c r="D31" s="38" t="s">
        <v>30</v>
      </c>
      <c r="E31" s="38">
        <f t="shared" si="2"/>
        <v>24.4</v>
      </c>
      <c r="L31" s="65"/>
      <c r="M31" s="65"/>
      <c r="N31" s="65"/>
      <c r="O31" s="65"/>
      <c r="P31" s="65"/>
      <c r="Q31" s="65"/>
    </row>
    <row r="32" spans="1:17" x14ac:dyDescent="0.25">
      <c r="A32" t="s">
        <v>87</v>
      </c>
      <c r="B32">
        <v>97</v>
      </c>
      <c r="C32">
        <v>5</v>
      </c>
      <c r="D32" s="38" t="s">
        <v>30</v>
      </c>
      <c r="E32" s="38">
        <f t="shared" si="2"/>
        <v>19.399999999999999</v>
      </c>
      <c r="L32" s="65"/>
      <c r="M32" s="65"/>
      <c r="N32" s="65"/>
      <c r="O32" s="65"/>
      <c r="P32" s="65"/>
      <c r="Q32" s="65"/>
    </row>
    <row r="33" spans="1:17" x14ac:dyDescent="0.25">
      <c r="A33" t="s">
        <v>88</v>
      </c>
      <c r="B33">
        <v>131</v>
      </c>
      <c r="C33">
        <v>5</v>
      </c>
      <c r="D33" s="38" t="s">
        <v>30</v>
      </c>
      <c r="E33" s="38">
        <f t="shared" si="2"/>
        <v>26.2</v>
      </c>
      <c r="L33" s="65"/>
      <c r="M33" s="65"/>
      <c r="N33" s="65"/>
      <c r="O33" s="65"/>
      <c r="P33" s="65"/>
      <c r="Q33" s="65"/>
    </row>
    <row r="34" spans="1:17" x14ac:dyDescent="0.25">
      <c r="A34" t="s">
        <v>89</v>
      </c>
      <c r="B34">
        <v>118</v>
      </c>
      <c r="C34">
        <v>3</v>
      </c>
      <c r="D34" s="38" t="s">
        <v>30</v>
      </c>
      <c r="E34" s="38">
        <f t="shared" si="2"/>
        <v>39.333333333333336</v>
      </c>
      <c r="L34" s="65"/>
      <c r="M34" s="65"/>
      <c r="N34" s="65"/>
      <c r="O34" s="65"/>
      <c r="P34" s="65"/>
      <c r="Q34" s="65"/>
    </row>
    <row r="35" spans="1:17" x14ac:dyDescent="0.25">
      <c r="A35" t="s">
        <v>90</v>
      </c>
      <c r="B35">
        <v>122</v>
      </c>
      <c r="C35">
        <v>5</v>
      </c>
      <c r="D35" s="38" t="s">
        <v>30</v>
      </c>
      <c r="E35" s="38">
        <f t="shared" si="2"/>
        <v>24.4</v>
      </c>
      <c r="L35" s="65"/>
      <c r="M35" s="65"/>
      <c r="N35" s="65"/>
      <c r="O35" s="65"/>
      <c r="P35" s="65"/>
      <c r="Q35" s="65"/>
    </row>
    <row r="36" spans="1:17" x14ac:dyDescent="0.25">
      <c r="A36" t="s">
        <v>91</v>
      </c>
      <c r="B36">
        <v>42</v>
      </c>
      <c r="C36">
        <v>4</v>
      </c>
      <c r="D36" s="38" t="s">
        <v>30</v>
      </c>
      <c r="E36" s="38">
        <f t="shared" si="2"/>
        <v>10.5</v>
      </c>
      <c r="L36" s="65"/>
      <c r="M36" s="65"/>
      <c r="N36" s="65"/>
      <c r="O36" s="65"/>
      <c r="P36" s="65"/>
      <c r="Q36" s="65"/>
    </row>
    <row r="37" spans="1:17" x14ac:dyDescent="0.25">
      <c r="A37" t="s">
        <v>92</v>
      </c>
      <c r="B37">
        <v>107</v>
      </c>
      <c r="C37">
        <v>4</v>
      </c>
      <c r="D37" s="38" t="s">
        <v>30</v>
      </c>
      <c r="E37" s="38">
        <f t="shared" si="2"/>
        <v>26.75</v>
      </c>
    </row>
    <row r="38" spans="1:17" x14ac:dyDescent="0.25">
      <c r="A38" t="s">
        <v>93</v>
      </c>
      <c r="B38">
        <v>94</v>
      </c>
      <c r="C38">
        <v>6</v>
      </c>
      <c r="D38" s="38" t="s">
        <v>30</v>
      </c>
      <c r="E38" s="38">
        <f t="shared" si="2"/>
        <v>15.666666666666666</v>
      </c>
    </row>
    <row r="39" spans="1:17" x14ac:dyDescent="0.25">
      <c r="A39" t="s">
        <v>94</v>
      </c>
      <c r="B39">
        <v>131</v>
      </c>
      <c r="C39">
        <v>6</v>
      </c>
      <c r="D39" s="38" t="s">
        <v>30</v>
      </c>
      <c r="E39" s="38">
        <f t="shared" si="2"/>
        <v>21.833333333333332</v>
      </c>
      <c r="H39" s="7" t="s">
        <v>400</v>
      </c>
    </row>
    <row r="40" spans="1:17" x14ac:dyDescent="0.25">
      <c r="A40" t="s">
        <v>95</v>
      </c>
      <c r="B40">
        <v>89</v>
      </c>
      <c r="C40">
        <v>5</v>
      </c>
      <c r="D40" s="38" t="s">
        <v>30</v>
      </c>
      <c r="E40" s="38">
        <f t="shared" si="2"/>
        <v>17.8</v>
      </c>
      <c r="H40" s="7" t="s">
        <v>356</v>
      </c>
      <c r="I40" s="7" t="s">
        <v>402</v>
      </c>
      <c r="J40" s="7" t="s">
        <v>401</v>
      </c>
    </row>
    <row r="41" spans="1:17" ht="13" x14ac:dyDescent="0.3">
      <c r="A41" s="92"/>
      <c r="B41" s="71"/>
      <c r="C41" s="71"/>
      <c r="D41" s="122"/>
      <c r="E41" s="122"/>
      <c r="F41" s="122"/>
      <c r="H41" s="7" t="s">
        <v>225</v>
      </c>
      <c r="I41" s="7">
        <v>0</v>
      </c>
      <c r="J41" s="7">
        <f>B42-1.5*B43</f>
        <v>11.463259737327524</v>
      </c>
    </row>
    <row r="42" spans="1:17" x14ac:dyDescent="0.25">
      <c r="A42" t="s">
        <v>383</v>
      </c>
      <c r="B42">
        <f>AVERAGE(E28:E40)</f>
        <v>22.464102564102568</v>
      </c>
      <c r="C42"/>
      <c r="D42" s="122" t="s">
        <v>225</v>
      </c>
      <c r="E42" s="122">
        <f>B42-2*B43</f>
        <v>7.7963121284025103</v>
      </c>
      <c r="F42" s="122"/>
      <c r="H42" s="7" t="s">
        <v>57</v>
      </c>
      <c r="I42" s="7">
        <f>B42-1.5*B43</f>
        <v>11.463259737327524</v>
      </c>
      <c r="J42" s="7">
        <f>B42-0.5*B43</f>
        <v>18.797154955177554</v>
      </c>
    </row>
    <row r="43" spans="1:17" x14ac:dyDescent="0.25">
      <c r="A43" t="s">
        <v>384</v>
      </c>
      <c r="B43">
        <f>_xlfn.STDEV.P(E28:E40)</f>
        <v>7.3338952178500287</v>
      </c>
      <c r="C43"/>
      <c r="D43" s="122" t="s">
        <v>57</v>
      </c>
      <c r="E43" s="122">
        <f>B42-B43</f>
        <v>15.13020734625254</v>
      </c>
      <c r="F43" s="122"/>
      <c r="H43" s="7" t="s">
        <v>58</v>
      </c>
      <c r="I43" s="7">
        <f>B42-0.5*B43</f>
        <v>18.797154955177554</v>
      </c>
      <c r="J43" s="7">
        <f>B42+0.5*B43</f>
        <v>26.131050173027582</v>
      </c>
    </row>
    <row r="44" spans="1:17" x14ac:dyDescent="0.25">
      <c r="A44"/>
      <c r="B44"/>
      <c r="C44"/>
      <c r="D44" s="122" t="s">
        <v>58</v>
      </c>
      <c r="E44" s="122">
        <f>B42</f>
        <v>22.464102564102568</v>
      </c>
      <c r="F44" s="122"/>
      <c r="H44" s="7" t="s">
        <v>59</v>
      </c>
      <c r="I44" s="7">
        <f>B42+0.5*B43</f>
        <v>26.131050173027582</v>
      </c>
      <c r="J44" s="7">
        <f>B42+1.5*B43</f>
        <v>33.46494539087761</v>
      </c>
    </row>
    <row r="45" spans="1:17" x14ac:dyDescent="0.25">
      <c r="A45"/>
      <c r="B45"/>
      <c r="C45"/>
      <c r="D45" s="7" t="s">
        <v>59</v>
      </c>
      <c r="E45" s="7">
        <f>B42+B43</f>
        <v>29.797997781952596</v>
      </c>
      <c r="H45" s="7" t="s">
        <v>208</v>
      </c>
      <c r="I45" s="7">
        <f>B42+1.5*B43</f>
        <v>33.46494539087761</v>
      </c>
      <c r="J45" s="7" t="s">
        <v>403</v>
      </c>
    </row>
    <row r="46" spans="1:17" x14ac:dyDescent="0.25">
      <c r="A46"/>
      <c r="B46"/>
      <c r="C46"/>
      <c r="D46" s="7" t="s">
        <v>208</v>
      </c>
      <c r="E46" s="7">
        <f>B42+2*B43</f>
        <v>37.131892999802623</v>
      </c>
    </row>
    <row r="47" spans="1:17" x14ac:dyDescent="0.25">
      <c r="A47"/>
      <c r="B47"/>
      <c r="C47"/>
      <c r="D47" s="121"/>
      <c r="E47" s="122"/>
    </row>
    <row r="48" spans="1:17" ht="13" x14ac:dyDescent="0.3">
      <c r="A48" s="67" t="s">
        <v>55</v>
      </c>
      <c r="B48"/>
      <c r="C48"/>
      <c r="D48" s="122"/>
      <c r="E48" s="122"/>
    </row>
    <row r="49" spans="1:10" x14ac:dyDescent="0.25">
      <c r="A49" t="s">
        <v>96</v>
      </c>
      <c r="B49">
        <v>125</v>
      </c>
      <c r="C49">
        <v>5</v>
      </c>
      <c r="D49" s="38" t="s">
        <v>55</v>
      </c>
      <c r="E49" s="122">
        <f>B49/C49</f>
        <v>25</v>
      </c>
      <c r="F49" s="7">
        <f>LOG(E49)</f>
        <v>1.3979400086720377</v>
      </c>
    </row>
    <row r="50" spans="1:10" x14ac:dyDescent="0.25">
      <c r="A50" t="s">
        <v>97</v>
      </c>
      <c r="B50">
        <v>106</v>
      </c>
      <c r="C50">
        <v>7</v>
      </c>
      <c r="D50" s="38" t="s">
        <v>55</v>
      </c>
      <c r="E50" s="122">
        <f t="shared" ref="E50:E58" si="3">B50/C50</f>
        <v>15.142857142857142</v>
      </c>
      <c r="F50" s="7">
        <f t="shared" ref="F50:F58" si="4">LOG(E50)</f>
        <v>1.1802078252505135</v>
      </c>
    </row>
    <row r="51" spans="1:10" x14ac:dyDescent="0.25">
      <c r="A51" t="s">
        <v>209</v>
      </c>
      <c r="B51">
        <v>92</v>
      </c>
      <c r="C51">
        <v>10</v>
      </c>
      <c r="D51" s="38" t="s">
        <v>55</v>
      </c>
      <c r="E51" s="122">
        <f t="shared" si="3"/>
        <v>9.1999999999999993</v>
      </c>
      <c r="F51" s="7">
        <f t="shared" si="4"/>
        <v>0.96378782734555524</v>
      </c>
    </row>
    <row r="52" spans="1:10" x14ac:dyDescent="0.25">
      <c r="A52" t="s">
        <v>210</v>
      </c>
      <c r="B52">
        <v>101</v>
      </c>
      <c r="C52">
        <v>8</v>
      </c>
      <c r="D52" s="38" t="s">
        <v>55</v>
      </c>
      <c r="E52" s="122">
        <f t="shared" si="3"/>
        <v>12.625</v>
      </c>
      <c r="F52" s="7">
        <f t="shared" si="4"/>
        <v>1.1012313867906991</v>
      </c>
    </row>
    <row r="53" spans="1:10" x14ac:dyDescent="0.25">
      <c r="A53" t="s">
        <v>211</v>
      </c>
      <c r="B53">
        <v>38</v>
      </c>
      <c r="C53">
        <v>5</v>
      </c>
      <c r="D53" s="38" t="s">
        <v>55</v>
      </c>
      <c r="E53" s="122">
        <f t="shared" si="3"/>
        <v>7.6</v>
      </c>
      <c r="F53" s="7">
        <f t="shared" si="4"/>
        <v>0.88081359228079137</v>
      </c>
    </row>
    <row r="54" spans="1:10" x14ac:dyDescent="0.25">
      <c r="A54" t="s">
        <v>212</v>
      </c>
      <c r="B54">
        <v>104</v>
      </c>
      <c r="C54">
        <v>3</v>
      </c>
      <c r="D54" s="38" t="s">
        <v>55</v>
      </c>
      <c r="E54" s="122">
        <f t="shared" si="3"/>
        <v>34.666666666666664</v>
      </c>
      <c r="F54" s="7">
        <f t="shared" si="4"/>
        <v>1.5399120845791179</v>
      </c>
    </row>
    <row r="55" spans="1:10" x14ac:dyDescent="0.25">
      <c r="A55" t="s">
        <v>213</v>
      </c>
      <c r="B55">
        <v>26</v>
      </c>
      <c r="C55">
        <v>5</v>
      </c>
      <c r="D55" s="38" t="s">
        <v>55</v>
      </c>
      <c r="E55" s="122">
        <f t="shared" si="3"/>
        <v>5.2</v>
      </c>
      <c r="F55" s="7">
        <f t="shared" si="4"/>
        <v>0.71600334363479923</v>
      </c>
    </row>
    <row r="56" spans="1:10" x14ac:dyDescent="0.25">
      <c r="A56" t="s">
        <v>214</v>
      </c>
      <c r="B56">
        <v>75</v>
      </c>
      <c r="C56">
        <v>2</v>
      </c>
      <c r="D56" s="38" t="s">
        <v>55</v>
      </c>
      <c r="E56" s="122">
        <f t="shared" si="3"/>
        <v>37.5</v>
      </c>
      <c r="F56" s="7">
        <f t="shared" si="4"/>
        <v>1.5740312677277188</v>
      </c>
    </row>
    <row r="57" spans="1:10" x14ac:dyDescent="0.25">
      <c r="A57" t="s">
        <v>215</v>
      </c>
      <c r="B57">
        <v>114</v>
      </c>
      <c r="C57">
        <v>2</v>
      </c>
      <c r="D57" s="38" t="s">
        <v>55</v>
      </c>
      <c r="E57" s="122">
        <f t="shared" si="3"/>
        <v>57</v>
      </c>
      <c r="F57" s="7">
        <f t="shared" si="4"/>
        <v>1.7558748556724915</v>
      </c>
    </row>
    <row r="58" spans="1:10" x14ac:dyDescent="0.25">
      <c r="A58" t="s">
        <v>216</v>
      </c>
      <c r="B58">
        <v>90</v>
      </c>
      <c r="C58">
        <v>6</v>
      </c>
      <c r="D58" s="38" t="s">
        <v>55</v>
      </c>
      <c r="E58" s="122">
        <f t="shared" si="3"/>
        <v>15</v>
      </c>
      <c r="F58" s="7">
        <f t="shared" si="4"/>
        <v>1.1760912590556813</v>
      </c>
    </row>
    <row r="59" spans="1:10" x14ac:dyDescent="0.25">
      <c r="A59"/>
      <c r="B59"/>
      <c r="C59"/>
      <c r="D59" s="122"/>
      <c r="E59" s="122"/>
    </row>
    <row r="60" spans="1:10" x14ac:dyDescent="0.25">
      <c r="A60" t="s">
        <v>396</v>
      </c>
      <c r="B60"/>
      <c r="C60"/>
    </row>
    <row r="61" spans="1:10" x14ac:dyDescent="0.25">
      <c r="A61" t="s">
        <v>383</v>
      </c>
      <c r="B61">
        <f>AVERAGE(F49:F58)</f>
        <v>1.2285893451009406</v>
      </c>
      <c r="C61"/>
      <c r="D61" s="7" t="s">
        <v>225</v>
      </c>
      <c r="E61" s="7">
        <f>B61-2*B62</f>
        <v>0.59673786763631409</v>
      </c>
      <c r="H61" s="7" t="s">
        <v>400</v>
      </c>
    </row>
    <row r="62" spans="1:10" x14ac:dyDescent="0.25">
      <c r="A62" s="7" t="s">
        <v>384</v>
      </c>
      <c r="B62" s="7">
        <f>_xlfn.STDEV.P(F49:F58)</f>
        <v>0.31592573873231328</v>
      </c>
      <c r="D62" s="7" t="s">
        <v>57</v>
      </c>
      <c r="E62" s="7">
        <f>B61-B62</f>
        <v>0.91266360636862731</v>
      </c>
      <c r="H62" s="7" t="s">
        <v>356</v>
      </c>
      <c r="I62" s="7" t="s">
        <v>402</v>
      </c>
      <c r="J62" s="7" t="s">
        <v>401</v>
      </c>
    </row>
    <row r="63" spans="1:10" x14ac:dyDescent="0.25">
      <c r="B63" s="122"/>
      <c r="C63" s="122"/>
      <c r="D63" s="121" t="s">
        <v>58</v>
      </c>
      <c r="E63" s="122">
        <f>B61</f>
        <v>1.2285893451009406</v>
      </c>
      <c r="H63" s="7" t="s">
        <v>225</v>
      </c>
      <c r="I63" s="7">
        <v>0</v>
      </c>
      <c r="J63" s="7">
        <f>B61-1.5*B62</f>
        <v>0.75470073700247076</v>
      </c>
    </row>
    <row r="64" spans="1:10" x14ac:dyDescent="0.25">
      <c r="B64" s="122"/>
      <c r="C64" s="122"/>
      <c r="D64" s="122" t="s">
        <v>59</v>
      </c>
      <c r="E64" s="122">
        <f>B61+B62</f>
        <v>1.544515083833254</v>
      </c>
      <c r="H64" s="7" t="s">
        <v>57</v>
      </c>
      <c r="I64" s="7">
        <f>B61-1.5*B62</f>
        <v>0.75470073700247076</v>
      </c>
      <c r="J64" s="7">
        <f>B61-0.5*B62</f>
        <v>1.0706264757347841</v>
      </c>
    </row>
    <row r="65" spans="2:10" x14ac:dyDescent="0.25">
      <c r="B65" s="122"/>
      <c r="C65" s="122"/>
      <c r="D65" s="122" t="s">
        <v>208</v>
      </c>
      <c r="E65" s="122">
        <f>B61+2*B62</f>
        <v>1.8604408225655673</v>
      </c>
      <c r="H65" s="7" t="s">
        <v>58</v>
      </c>
      <c r="I65" s="7">
        <f>B61-0.5*B62</f>
        <v>1.0706264757347841</v>
      </c>
      <c r="J65" s="7">
        <f>B61+0.5*B62</f>
        <v>1.3865522144670972</v>
      </c>
    </row>
    <row r="66" spans="2:10" x14ac:dyDescent="0.25">
      <c r="B66" s="122"/>
      <c r="C66" s="122"/>
      <c r="D66" s="122"/>
      <c r="E66" s="122"/>
      <c r="H66" s="7" t="s">
        <v>59</v>
      </c>
    </row>
    <row r="67" spans="2:10" x14ac:dyDescent="0.25">
      <c r="B67" s="122"/>
      <c r="C67" s="122"/>
      <c r="D67" s="122"/>
      <c r="E67" s="122"/>
      <c r="H67" s="7" t="s">
        <v>208</v>
      </c>
    </row>
  </sheetData>
  <phoneticPr fontId="0" type="noConversion"/>
  <pageMargins left="0.75" right="0.75" top="1" bottom="1" header="0.5" footer="0.5"/>
  <pageSetup orientation="portrait" r:id="rId1"/>
  <headerFooter alignWithMargins="0"/>
  <ignoredErrors>
    <ignoredError sqref="E62:E63" unlocked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O22"/>
  <sheetViews>
    <sheetView showGridLines="0" tabSelected="1" topLeftCell="A7" workbookViewId="0">
      <selection activeCell="K11" sqref="K11:K18"/>
    </sheetView>
  </sheetViews>
  <sheetFormatPr defaultRowHeight="12.5" x14ac:dyDescent="0.25"/>
  <cols>
    <col min="5" max="5" width="11.36328125" customWidth="1"/>
    <col min="6" max="6" width="13.1796875" customWidth="1"/>
    <col min="7" max="7" width="12.1796875" customWidth="1"/>
    <col min="8" max="8" width="14.81640625" customWidth="1"/>
    <col min="11" max="11" width="12.453125" bestFit="1" customWidth="1"/>
  </cols>
  <sheetData>
    <row r="1" spans="1:15" ht="15.5" x14ac:dyDescent="0.35">
      <c r="A1" s="75" t="s">
        <v>351</v>
      </c>
    </row>
    <row r="3" spans="1:15" x14ac:dyDescent="0.25">
      <c r="A3" t="s">
        <v>394</v>
      </c>
    </row>
    <row r="4" spans="1:15" x14ac:dyDescent="0.25">
      <c r="A4" t="s">
        <v>387</v>
      </c>
      <c r="B4" t="s">
        <v>388</v>
      </c>
    </row>
    <row r="5" spans="1:15" x14ac:dyDescent="0.25">
      <c r="A5" t="s">
        <v>389</v>
      </c>
      <c r="B5" t="s">
        <v>390</v>
      </c>
      <c r="M5" s="7"/>
      <c r="N5" s="7"/>
      <c r="O5" s="7"/>
    </row>
    <row r="6" spans="1:15" x14ac:dyDescent="0.25">
      <c r="B6" t="s">
        <v>391</v>
      </c>
      <c r="M6" s="7"/>
      <c r="N6" s="7"/>
      <c r="O6" s="7"/>
    </row>
    <row r="7" spans="1:15" x14ac:dyDescent="0.25">
      <c r="A7" t="s">
        <v>393</v>
      </c>
      <c r="B7" t="s">
        <v>392</v>
      </c>
    </row>
    <row r="8" spans="1:15" x14ac:dyDescent="0.25">
      <c r="M8" s="7"/>
      <c r="N8" s="7"/>
      <c r="O8" s="7"/>
    </row>
    <row r="9" spans="1:15" x14ac:dyDescent="0.25">
      <c r="M9" s="7"/>
      <c r="N9" s="7"/>
      <c r="O9" s="7"/>
    </row>
    <row r="10" spans="1:15" x14ac:dyDescent="0.25">
      <c r="A10" t="s">
        <v>397</v>
      </c>
      <c r="B10" t="s">
        <v>49</v>
      </c>
      <c r="C10" t="s">
        <v>398</v>
      </c>
      <c r="D10" t="s">
        <v>192</v>
      </c>
      <c r="E10" t="s">
        <v>399</v>
      </c>
      <c r="F10" t="s">
        <v>29</v>
      </c>
      <c r="G10" t="s">
        <v>378</v>
      </c>
      <c r="H10" t="s">
        <v>408</v>
      </c>
      <c r="I10" t="s">
        <v>356</v>
      </c>
      <c r="J10" t="s">
        <v>406</v>
      </c>
      <c r="K10" t="s">
        <v>407</v>
      </c>
      <c r="L10" t="s">
        <v>192</v>
      </c>
      <c r="M10" s="7"/>
      <c r="N10" s="7"/>
      <c r="O10" s="7"/>
    </row>
    <row r="11" spans="1:15" x14ac:dyDescent="0.25">
      <c r="A11" t="s">
        <v>122</v>
      </c>
      <c r="B11">
        <v>6</v>
      </c>
      <c r="C11" t="s">
        <v>346</v>
      </c>
      <c r="D11">
        <v>142</v>
      </c>
      <c r="E11">
        <v>1</v>
      </c>
      <c r="F11" s="38" t="s">
        <v>53</v>
      </c>
      <c r="G11">
        <f>D11/E11</f>
        <v>142</v>
      </c>
      <c r="H11">
        <f>LOG(G11)</f>
        <v>2.1522883443830563</v>
      </c>
      <c r="I11" t="s">
        <v>58</v>
      </c>
      <c r="J11">
        <v>1.593031377</v>
      </c>
      <c r="K11">
        <f>10^J11</f>
        <v>39.177018078058367</v>
      </c>
      <c r="L11">
        <f>K11*B11</f>
        <v>235.0621084683502</v>
      </c>
      <c r="M11" s="7"/>
      <c r="N11" s="7"/>
      <c r="O11" s="7"/>
    </row>
    <row r="12" spans="1:15" x14ac:dyDescent="0.25">
      <c r="A12" t="s">
        <v>123</v>
      </c>
      <c r="B12">
        <v>2</v>
      </c>
      <c r="C12" t="s">
        <v>210</v>
      </c>
      <c r="D12">
        <v>101</v>
      </c>
      <c r="E12">
        <v>8</v>
      </c>
      <c r="F12" s="38" t="s">
        <v>55</v>
      </c>
      <c r="G12">
        <f>D12/E12</f>
        <v>12.625</v>
      </c>
      <c r="H12">
        <f t="shared" ref="H12:H18" si="0">LOG(G12)</f>
        <v>1.1012313867906991</v>
      </c>
      <c r="I12" t="s">
        <v>58</v>
      </c>
      <c r="J12">
        <v>1.23</v>
      </c>
      <c r="K12">
        <f>10^J12</f>
        <v>16.982436524617448</v>
      </c>
      <c r="L12">
        <f t="shared" ref="L12:L18" si="1">K12*B12</f>
        <v>33.964873049234896</v>
      </c>
      <c r="M12" s="7"/>
      <c r="N12" s="7"/>
      <c r="O12" s="7"/>
    </row>
    <row r="13" spans="1:15" x14ac:dyDescent="0.25">
      <c r="A13" t="s">
        <v>125</v>
      </c>
      <c r="B13">
        <v>5</v>
      </c>
      <c r="C13" s="38" t="s">
        <v>89</v>
      </c>
      <c r="D13">
        <v>118</v>
      </c>
      <c r="E13">
        <v>3</v>
      </c>
      <c r="F13" s="38" t="s">
        <v>30</v>
      </c>
      <c r="G13">
        <f>D13/E13</f>
        <v>39.333333333333336</v>
      </c>
      <c r="H13">
        <f>D13/E13</f>
        <v>39.333333333333336</v>
      </c>
      <c r="I13" t="s">
        <v>208</v>
      </c>
      <c r="J13">
        <v>37.131892999999998</v>
      </c>
      <c r="K13">
        <v>37.131892999999998</v>
      </c>
      <c r="L13">
        <f t="shared" si="1"/>
        <v>185.65946499999998</v>
      </c>
      <c r="M13" s="7"/>
      <c r="N13" s="7"/>
      <c r="O13" s="7"/>
    </row>
    <row r="14" spans="1:15" x14ac:dyDescent="0.25">
      <c r="A14" t="s">
        <v>126</v>
      </c>
      <c r="B14">
        <v>2</v>
      </c>
      <c r="C14" s="38" t="s">
        <v>86</v>
      </c>
      <c r="D14">
        <v>122</v>
      </c>
      <c r="E14">
        <v>5</v>
      </c>
      <c r="F14" s="38" t="s">
        <v>30</v>
      </c>
      <c r="G14">
        <f t="shared" ref="G14:G18" si="2">D14/E14</f>
        <v>24.4</v>
      </c>
      <c r="H14">
        <v>24.4</v>
      </c>
      <c r="I14" t="s">
        <v>58</v>
      </c>
      <c r="J14">
        <v>22.46</v>
      </c>
      <c r="K14">
        <v>22.46</v>
      </c>
      <c r="L14">
        <f t="shared" si="1"/>
        <v>44.92</v>
      </c>
    </row>
    <row r="15" spans="1:15" x14ac:dyDescent="0.25">
      <c r="A15" t="s">
        <v>127</v>
      </c>
      <c r="B15">
        <v>4</v>
      </c>
      <c r="C15" s="38" t="s">
        <v>92</v>
      </c>
      <c r="D15">
        <v>107</v>
      </c>
      <c r="E15">
        <v>4</v>
      </c>
      <c r="F15" s="38" t="s">
        <v>30</v>
      </c>
      <c r="G15">
        <f t="shared" si="2"/>
        <v>26.75</v>
      </c>
      <c r="H15">
        <v>26.75</v>
      </c>
      <c r="I15" t="s">
        <v>59</v>
      </c>
      <c r="J15">
        <v>29.797997779999999</v>
      </c>
      <c r="K15">
        <v>29.797997779999999</v>
      </c>
      <c r="L15">
        <f t="shared" si="1"/>
        <v>119.19199112</v>
      </c>
    </row>
    <row r="16" spans="1:15" x14ac:dyDescent="0.25">
      <c r="A16" t="s">
        <v>128</v>
      </c>
      <c r="B16">
        <v>3</v>
      </c>
      <c r="C16" s="38" t="s">
        <v>90</v>
      </c>
      <c r="D16">
        <v>122</v>
      </c>
      <c r="E16">
        <v>5</v>
      </c>
      <c r="F16" s="38" t="s">
        <v>30</v>
      </c>
      <c r="G16">
        <f t="shared" si="2"/>
        <v>24.4</v>
      </c>
      <c r="H16">
        <v>24.4</v>
      </c>
      <c r="I16" t="s">
        <v>58</v>
      </c>
      <c r="J16">
        <v>22.46</v>
      </c>
      <c r="K16">
        <v>22.46</v>
      </c>
      <c r="L16">
        <f t="shared" si="1"/>
        <v>67.38</v>
      </c>
    </row>
    <row r="17" spans="1:12" x14ac:dyDescent="0.25">
      <c r="A17" t="s">
        <v>129</v>
      </c>
      <c r="B17">
        <v>5</v>
      </c>
      <c r="C17" s="38" t="s">
        <v>339</v>
      </c>
      <c r="D17">
        <v>93</v>
      </c>
      <c r="E17">
        <v>5</v>
      </c>
      <c r="F17" s="38" t="s">
        <v>53</v>
      </c>
      <c r="G17">
        <f t="shared" si="2"/>
        <v>18.600000000000001</v>
      </c>
      <c r="H17">
        <f t="shared" si="0"/>
        <v>1.2695129442179163</v>
      </c>
      <c r="I17" t="s">
        <v>57</v>
      </c>
      <c r="J17">
        <v>1.229153672</v>
      </c>
      <c r="K17">
        <f>10^J17</f>
        <v>16.949374358564601</v>
      </c>
      <c r="L17">
        <f t="shared" si="1"/>
        <v>84.746871792823001</v>
      </c>
    </row>
    <row r="18" spans="1:12" x14ac:dyDescent="0.25">
      <c r="A18" t="s">
        <v>130</v>
      </c>
      <c r="B18">
        <v>7</v>
      </c>
      <c r="C18" s="38" t="s">
        <v>343</v>
      </c>
      <c r="D18">
        <v>68</v>
      </c>
      <c r="E18">
        <v>1</v>
      </c>
      <c r="F18" s="38" t="s">
        <v>53</v>
      </c>
      <c r="G18">
        <f t="shared" si="2"/>
        <v>68</v>
      </c>
      <c r="H18">
        <f t="shared" si="0"/>
        <v>1.8325089127062364</v>
      </c>
      <c r="I18" t="s">
        <v>58</v>
      </c>
      <c r="J18">
        <v>1.593031377</v>
      </c>
      <c r="K18">
        <f>10^J18</f>
        <v>39.177018078058367</v>
      </c>
      <c r="L18">
        <f t="shared" si="1"/>
        <v>274.23912654640856</v>
      </c>
    </row>
    <row r="21" spans="1:12" x14ac:dyDescent="0.25">
      <c r="A21" t="s">
        <v>409</v>
      </c>
    </row>
    <row r="22" spans="1:12" x14ac:dyDescent="0.25">
      <c r="A22" t="s">
        <v>410</v>
      </c>
    </row>
  </sheetData>
  <phoneticPr fontId="11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G33"/>
  <sheetViews>
    <sheetView showGridLines="0" zoomScale="115" zoomScaleNormal="115" workbookViewId="0">
      <selection activeCell="D33" sqref="D33"/>
    </sheetView>
  </sheetViews>
  <sheetFormatPr defaultColWidth="9.1796875" defaultRowHeight="12.5" x14ac:dyDescent="0.25"/>
  <cols>
    <col min="1" max="1" width="14.7265625" style="7" customWidth="1"/>
    <col min="2" max="2" width="15.1796875" style="7" customWidth="1"/>
    <col min="3" max="5" width="12.7265625" style="7" customWidth="1"/>
    <col min="6" max="6" width="14.1796875" style="7" customWidth="1"/>
    <col min="7" max="8" width="12.7265625" style="7" customWidth="1"/>
    <col min="9" max="16384" width="9.1796875" style="7"/>
  </cols>
  <sheetData>
    <row r="1" spans="1:7" ht="15.5" x14ac:dyDescent="0.35">
      <c r="A1" s="75" t="s">
        <v>290</v>
      </c>
    </row>
    <row r="3" spans="1:7" x14ac:dyDescent="0.25">
      <c r="A3"/>
      <c r="B3"/>
      <c r="C3"/>
      <c r="D3" t="s">
        <v>367</v>
      </c>
      <c r="E3" t="s">
        <v>368</v>
      </c>
      <c r="F3"/>
      <c r="G3"/>
    </row>
    <row r="4" spans="1:7" ht="26" x14ac:dyDescent="0.3">
      <c r="A4"/>
      <c r="B4" s="68"/>
      <c r="C4" s="92" t="s">
        <v>71</v>
      </c>
      <c r="D4" s="71" t="s">
        <v>241</v>
      </c>
      <c r="E4" s="71" t="s">
        <v>242</v>
      </c>
      <c r="F4" s="71" t="s">
        <v>272</v>
      </c>
      <c r="G4" s="101" t="s">
        <v>273</v>
      </c>
    </row>
    <row r="5" spans="1:7" x14ac:dyDescent="0.25">
      <c r="A5"/>
      <c r="B5" s="24"/>
      <c r="C5" t="s">
        <v>101</v>
      </c>
      <c r="D5">
        <v>124</v>
      </c>
      <c r="E5">
        <v>98</v>
      </c>
      <c r="F5">
        <v>360</v>
      </c>
      <c r="G5">
        <v>300</v>
      </c>
    </row>
    <row r="6" spans="1:7" x14ac:dyDescent="0.25">
      <c r="A6"/>
      <c r="B6" s="24"/>
      <c r="C6" t="s">
        <v>102</v>
      </c>
      <c r="D6">
        <v>360</v>
      </c>
      <c r="E6">
        <v>284</v>
      </c>
      <c r="F6">
        <v>900</v>
      </c>
      <c r="G6">
        <v>720</v>
      </c>
    </row>
    <row r="7" spans="1:7" x14ac:dyDescent="0.25">
      <c r="A7"/>
      <c r="B7" s="24"/>
      <c r="C7" t="s">
        <v>103</v>
      </c>
      <c r="D7">
        <v>229</v>
      </c>
      <c r="E7">
        <v>292</v>
      </c>
      <c r="F7">
        <v>540</v>
      </c>
      <c r="G7">
        <v>720</v>
      </c>
    </row>
    <row r="8" spans="1:7" x14ac:dyDescent="0.25">
      <c r="A8"/>
      <c r="B8" s="24"/>
      <c r="C8" t="s">
        <v>104</v>
      </c>
      <c r="D8">
        <v>321</v>
      </c>
      <c r="E8">
        <v>286</v>
      </c>
      <c r="F8">
        <v>840</v>
      </c>
      <c r="G8">
        <v>780</v>
      </c>
    </row>
    <row r="9" spans="1:7" x14ac:dyDescent="0.25">
      <c r="A9"/>
      <c r="B9" s="24"/>
      <c r="C9" t="s">
        <v>105</v>
      </c>
      <c r="D9">
        <v>279</v>
      </c>
      <c r="E9">
        <v>350</v>
      </c>
      <c r="F9">
        <v>720</v>
      </c>
      <c r="G9">
        <v>900</v>
      </c>
    </row>
    <row r="10" spans="1:7" x14ac:dyDescent="0.25">
      <c r="A10"/>
      <c r="B10" s="24"/>
      <c r="C10" t="s">
        <v>106</v>
      </c>
      <c r="D10">
        <v>352</v>
      </c>
      <c r="E10">
        <v>464</v>
      </c>
      <c r="F10">
        <v>780</v>
      </c>
      <c r="G10">
        <v>1380</v>
      </c>
    </row>
    <row r="11" spans="1:7" x14ac:dyDescent="0.25">
      <c r="A11"/>
      <c r="B11" s="24"/>
      <c r="C11" t="s">
        <v>107</v>
      </c>
      <c r="D11">
        <v>297</v>
      </c>
      <c r="E11">
        <v>381</v>
      </c>
      <c r="F11">
        <v>780</v>
      </c>
      <c r="G11">
        <v>1020</v>
      </c>
    </row>
    <row r="12" spans="1:7" x14ac:dyDescent="0.25">
      <c r="A12"/>
      <c r="B12" s="24"/>
      <c r="C12" t="s">
        <v>108</v>
      </c>
      <c r="D12">
        <v>263</v>
      </c>
      <c r="E12">
        <v>369</v>
      </c>
      <c r="F12">
        <v>660</v>
      </c>
      <c r="G12">
        <v>960</v>
      </c>
    </row>
    <row r="13" spans="1:7" x14ac:dyDescent="0.25">
      <c r="A13"/>
      <c r="B13" s="24"/>
      <c r="C13" t="s">
        <v>109</v>
      </c>
      <c r="D13">
        <v>357</v>
      </c>
      <c r="E13">
        <v>365</v>
      </c>
      <c r="F13">
        <v>900</v>
      </c>
      <c r="G13">
        <v>900</v>
      </c>
    </row>
    <row r="14" spans="1:7" x14ac:dyDescent="0.25">
      <c r="A14"/>
      <c r="B14" s="24"/>
      <c r="C14" t="s">
        <v>110</v>
      </c>
      <c r="D14">
        <v>311</v>
      </c>
      <c r="E14">
        <v>284</v>
      </c>
      <c r="F14">
        <v>780</v>
      </c>
      <c r="G14">
        <v>720</v>
      </c>
    </row>
    <row r="15" spans="1:7" x14ac:dyDescent="0.25">
      <c r="A15"/>
      <c r="B15" s="24"/>
      <c r="C15" t="s">
        <v>111</v>
      </c>
      <c r="D15">
        <v>341</v>
      </c>
      <c r="E15">
        <v>277</v>
      </c>
      <c r="F15">
        <v>840</v>
      </c>
      <c r="G15">
        <v>600</v>
      </c>
    </row>
    <row r="16" spans="1:7" x14ac:dyDescent="0.25">
      <c r="A16"/>
      <c r="B16" s="24"/>
      <c r="C16" t="s">
        <v>112</v>
      </c>
      <c r="D16">
        <v>153</v>
      </c>
      <c r="E16">
        <v>212</v>
      </c>
      <c r="F16">
        <v>420</v>
      </c>
      <c r="G16">
        <v>480</v>
      </c>
    </row>
    <row r="17" spans="1:7" x14ac:dyDescent="0.25">
      <c r="A17"/>
      <c r="B17" s="24"/>
      <c r="C17" t="s">
        <v>113</v>
      </c>
      <c r="D17">
        <v>390</v>
      </c>
      <c r="E17">
        <v>319</v>
      </c>
      <c r="F17">
        <v>1020</v>
      </c>
      <c r="G17">
        <v>720</v>
      </c>
    </row>
    <row r="18" spans="1:7" x14ac:dyDescent="0.25">
      <c r="A18"/>
      <c r="B18" s="24"/>
      <c r="C18" t="s">
        <v>217</v>
      </c>
      <c r="D18">
        <v>260</v>
      </c>
      <c r="E18">
        <v>218</v>
      </c>
      <c r="F18">
        <v>660</v>
      </c>
      <c r="G18">
        <v>540</v>
      </c>
    </row>
    <row r="19" spans="1:7" x14ac:dyDescent="0.25">
      <c r="A19"/>
      <c r="B19" s="24"/>
      <c r="C19" t="s">
        <v>218</v>
      </c>
      <c r="D19">
        <v>215</v>
      </c>
      <c r="E19">
        <v>238</v>
      </c>
      <c r="F19">
        <v>540</v>
      </c>
      <c r="G19">
        <v>600</v>
      </c>
    </row>
    <row r="20" spans="1:7" x14ac:dyDescent="0.25">
      <c r="A20"/>
      <c r="B20" s="24"/>
      <c r="C20" t="s">
        <v>219</v>
      </c>
      <c r="D20">
        <v>468</v>
      </c>
      <c r="E20">
        <v>312</v>
      </c>
      <c r="F20">
        <v>1200</v>
      </c>
      <c r="G20">
        <v>660</v>
      </c>
    </row>
    <row r="21" spans="1:7" x14ac:dyDescent="0.25">
      <c r="A21"/>
      <c r="B21" s="24"/>
      <c r="C21" t="s">
        <v>220</v>
      </c>
      <c r="D21">
        <v>528</v>
      </c>
      <c r="E21">
        <v>676</v>
      </c>
      <c r="F21">
        <v>1260</v>
      </c>
      <c r="G21">
        <v>1620</v>
      </c>
    </row>
    <row r="22" spans="1:7" x14ac:dyDescent="0.25">
      <c r="A22"/>
      <c r="B22" s="24"/>
      <c r="C22" t="s">
        <v>221</v>
      </c>
      <c r="D22">
        <v>232</v>
      </c>
      <c r="E22">
        <v>266</v>
      </c>
      <c r="F22">
        <v>600</v>
      </c>
      <c r="G22">
        <v>840</v>
      </c>
    </row>
    <row r="23" spans="1:7" x14ac:dyDescent="0.25">
      <c r="A23"/>
      <c r="B23" s="24"/>
      <c r="C23" t="s">
        <v>222</v>
      </c>
      <c r="D23">
        <v>304</v>
      </c>
      <c r="E23">
        <v>225</v>
      </c>
      <c r="F23">
        <v>780</v>
      </c>
      <c r="G23">
        <v>600</v>
      </c>
    </row>
    <row r="24" spans="1:7" x14ac:dyDescent="0.25">
      <c r="A24"/>
      <c r="B24" s="24"/>
      <c r="C24" t="s">
        <v>223</v>
      </c>
      <c r="D24">
        <v>459</v>
      </c>
      <c r="E24">
        <v>395</v>
      </c>
      <c r="F24">
        <v>1080</v>
      </c>
      <c r="G24">
        <v>1080</v>
      </c>
    </row>
    <row r="26" spans="1:7" x14ac:dyDescent="0.25">
      <c r="B26" s="7" t="s">
        <v>393</v>
      </c>
      <c r="C26" s="7" t="s">
        <v>411</v>
      </c>
    </row>
    <row r="27" spans="1:7" x14ac:dyDescent="0.25">
      <c r="B27" s="7" t="s">
        <v>412</v>
      </c>
      <c r="C27" s="7" t="s">
        <v>413</v>
      </c>
    </row>
    <row r="28" spans="1:7" x14ac:dyDescent="0.25">
      <c r="D28" s="65"/>
      <c r="G28" s="123"/>
    </row>
    <row r="29" spans="1:7" x14ac:dyDescent="0.25">
      <c r="B29" s="7" t="s">
        <v>414</v>
      </c>
      <c r="C29" s="7">
        <v>1.0671600000000001</v>
      </c>
      <c r="D29" s="65"/>
      <c r="G29" s="123"/>
    </row>
    <row r="30" spans="1:7" x14ac:dyDescent="0.25">
      <c r="B30" s="129" t="s">
        <v>415</v>
      </c>
      <c r="C30" s="7">
        <v>168.56100000000001</v>
      </c>
    </row>
    <row r="31" spans="1:7" x14ac:dyDescent="0.25">
      <c r="B31" s="129" t="s">
        <v>417</v>
      </c>
      <c r="C31" s="7">
        <v>952</v>
      </c>
    </row>
    <row r="32" spans="1:7" x14ac:dyDescent="0.25">
      <c r="B32" s="129" t="s">
        <v>416</v>
      </c>
      <c r="C32" s="7">
        <f>C31+C30</f>
        <v>1120.5609999999999</v>
      </c>
    </row>
    <row r="33" spans="2:3" x14ac:dyDescent="0.25">
      <c r="B33" s="129" t="s">
        <v>418</v>
      </c>
      <c r="C33" s="7">
        <f>C31-C30</f>
        <v>783.43899999999996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L162"/>
  <sheetViews>
    <sheetView showGridLines="0" workbookViewId="0">
      <selection activeCell="F12" sqref="F12"/>
    </sheetView>
  </sheetViews>
  <sheetFormatPr defaultColWidth="9.1796875" defaultRowHeight="12.5" x14ac:dyDescent="0.25"/>
  <cols>
    <col min="1" max="1" width="14.7265625" style="7" customWidth="1"/>
    <col min="2" max="2" width="15.1796875" style="7" customWidth="1"/>
    <col min="3" max="5" width="12.7265625" style="7" customWidth="1"/>
    <col min="6" max="6" width="14.1796875" style="7" customWidth="1"/>
    <col min="7" max="8" width="12.7265625" style="7" customWidth="1"/>
    <col min="9" max="9" width="14.7265625" style="7" bestFit="1" customWidth="1"/>
    <col min="10" max="10" width="9.1796875" style="7"/>
    <col min="11" max="11" width="15" style="7" customWidth="1"/>
    <col min="12" max="12" width="18.54296875" style="7" customWidth="1"/>
    <col min="13" max="13" width="12.7265625" style="7" customWidth="1"/>
    <col min="14" max="16384" width="9.1796875" style="7"/>
  </cols>
  <sheetData>
    <row r="1" spans="1:5" ht="15.5" x14ac:dyDescent="0.35">
      <c r="A1" s="75" t="s">
        <v>291</v>
      </c>
    </row>
    <row r="2" spans="1:5" ht="13" x14ac:dyDescent="0.3">
      <c r="A2" s="92"/>
      <c r="B2" s="71"/>
      <c r="C2" s="71"/>
      <c r="D2" s="71"/>
      <c r="E2" s="101"/>
    </row>
    <row r="3" spans="1:5" x14ac:dyDescent="0.25">
      <c r="A3"/>
      <c r="B3"/>
      <c r="C3"/>
      <c r="D3"/>
      <c r="E3"/>
    </row>
    <row r="4" spans="1:5" x14ac:dyDescent="0.25">
      <c r="A4"/>
      <c r="B4"/>
      <c r="C4"/>
      <c r="D4"/>
      <c r="E4"/>
    </row>
    <row r="5" spans="1:5" x14ac:dyDescent="0.25">
      <c r="A5"/>
      <c r="B5"/>
      <c r="C5"/>
      <c r="D5"/>
      <c r="E5"/>
    </row>
    <row r="6" spans="1:5" x14ac:dyDescent="0.25">
      <c r="A6"/>
      <c r="B6"/>
      <c r="C6"/>
      <c r="D6"/>
      <c r="E6"/>
    </row>
    <row r="7" spans="1:5" x14ac:dyDescent="0.25">
      <c r="A7"/>
      <c r="B7"/>
      <c r="C7"/>
      <c r="D7"/>
      <c r="E7"/>
    </row>
    <row r="8" spans="1:5" x14ac:dyDescent="0.25">
      <c r="A8"/>
      <c r="B8"/>
      <c r="C8"/>
      <c r="D8"/>
      <c r="E8"/>
    </row>
    <row r="9" spans="1:5" x14ac:dyDescent="0.25">
      <c r="A9"/>
      <c r="B9"/>
      <c r="C9"/>
      <c r="D9"/>
      <c r="E9"/>
    </row>
    <row r="10" spans="1:5" x14ac:dyDescent="0.25">
      <c r="A10"/>
      <c r="B10"/>
      <c r="C10"/>
      <c r="D10"/>
      <c r="E10"/>
    </row>
    <row r="11" spans="1:5" x14ac:dyDescent="0.25">
      <c r="A11"/>
      <c r="B11"/>
      <c r="C11"/>
      <c r="D11"/>
      <c r="E11"/>
    </row>
    <row r="12" spans="1:5" x14ac:dyDescent="0.25">
      <c r="A12"/>
      <c r="B12"/>
      <c r="C12"/>
      <c r="D12"/>
      <c r="E12"/>
    </row>
    <row r="13" spans="1:5" x14ac:dyDescent="0.25">
      <c r="A13"/>
      <c r="B13"/>
      <c r="C13"/>
      <c r="D13"/>
      <c r="E13"/>
    </row>
    <row r="14" spans="1:5" x14ac:dyDescent="0.25">
      <c r="A14"/>
      <c r="B14"/>
      <c r="C14"/>
      <c r="D14"/>
      <c r="E14"/>
    </row>
    <row r="15" spans="1:5" x14ac:dyDescent="0.25">
      <c r="A15"/>
      <c r="B15"/>
      <c r="C15"/>
      <c r="D15"/>
      <c r="E15"/>
    </row>
    <row r="16" spans="1:5" x14ac:dyDescent="0.25">
      <c r="A16"/>
      <c r="B16"/>
      <c r="C16"/>
      <c r="D16"/>
      <c r="E16"/>
    </row>
    <row r="17" spans="1:5" x14ac:dyDescent="0.25">
      <c r="A17"/>
      <c r="B17"/>
      <c r="C17"/>
      <c r="D17"/>
      <c r="E17"/>
    </row>
    <row r="18" spans="1:5" x14ac:dyDescent="0.25">
      <c r="A18"/>
      <c r="B18"/>
      <c r="C18"/>
      <c r="D18"/>
      <c r="E18"/>
    </row>
    <row r="19" spans="1:5" x14ac:dyDescent="0.25">
      <c r="A19"/>
      <c r="B19"/>
      <c r="C19"/>
      <c r="D19"/>
      <c r="E19"/>
    </row>
    <row r="20" spans="1:5" x14ac:dyDescent="0.25">
      <c r="A20"/>
      <c r="B20"/>
      <c r="C20"/>
      <c r="D20"/>
      <c r="E20"/>
    </row>
    <row r="21" spans="1:5" x14ac:dyDescent="0.25">
      <c r="A21"/>
      <c r="B21"/>
      <c r="C21"/>
      <c r="D21"/>
      <c r="E21"/>
    </row>
    <row r="22" spans="1:5" x14ac:dyDescent="0.25">
      <c r="A22"/>
      <c r="B22"/>
      <c r="C22"/>
      <c r="D22"/>
      <c r="E22"/>
    </row>
    <row r="26" spans="1:5" ht="13" x14ac:dyDescent="0.3">
      <c r="A26" s="124"/>
    </row>
    <row r="33" spans="1:1" ht="13" x14ac:dyDescent="0.3">
      <c r="A33" s="124"/>
    </row>
    <row r="78" spans="2:9" x14ac:dyDescent="0.25">
      <c r="B78" s="24"/>
      <c r="C78" s="125"/>
      <c r="I78" s="63"/>
    </row>
    <row r="79" spans="2:9" x14ac:dyDescent="0.25">
      <c r="B79" s="24"/>
      <c r="C79" s="70"/>
      <c r="I79" s="63"/>
    </row>
    <row r="80" spans="2:9" x14ac:dyDescent="0.25">
      <c r="B80" s="24"/>
      <c r="C80" s="70"/>
      <c r="I80" s="63"/>
    </row>
    <row r="81" spans="2:9" x14ac:dyDescent="0.25">
      <c r="B81" s="24"/>
      <c r="C81" s="70"/>
      <c r="I81" s="63"/>
    </row>
    <row r="82" spans="2:9" x14ac:dyDescent="0.25">
      <c r="B82" s="24"/>
      <c r="C82" s="70"/>
      <c r="I82" s="63"/>
    </row>
    <row r="83" spans="2:9" x14ac:dyDescent="0.25">
      <c r="B83" s="24"/>
      <c r="C83" s="70"/>
      <c r="I83" s="63"/>
    </row>
    <row r="84" spans="2:9" x14ac:dyDescent="0.25">
      <c r="B84" s="24"/>
      <c r="C84" s="70"/>
      <c r="I84" s="63"/>
    </row>
    <row r="85" spans="2:9" x14ac:dyDescent="0.25">
      <c r="B85" s="24"/>
      <c r="C85" s="70"/>
      <c r="I85" s="63"/>
    </row>
    <row r="86" spans="2:9" x14ac:dyDescent="0.25">
      <c r="B86" s="24"/>
      <c r="C86" s="70"/>
      <c r="I86" s="63"/>
    </row>
    <row r="87" spans="2:9" x14ac:dyDescent="0.25">
      <c r="B87" s="24"/>
      <c r="C87" s="70"/>
      <c r="I87" s="63"/>
    </row>
    <row r="88" spans="2:9" x14ac:dyDescent="0.25">
      <c r="B88" s="24"/>
      <c r="C88" s="70"/>
      <c r="I88" s="63"/>
    </row>
    <row r="89" spans="2:9" x14ac:dyDescent="0.25">
      <c r="B89" s="24"/>
      <c r="C89" s="70"/>
      <c r="I89" s="63"/>
    </row>
    <row r="90" spans="2:9" x14ac:dyDescent="0.25">
      <c r="B90" s="24"/>
      <c r="C90" s="70"/>
      <c r="I90" s="63"/>
    </row>
    <row r="91" spans="2:9" x14ac:dyDescent="0.25">
      <c r="B91" s="24"/>
      <c r="C91" s="70"/>
      <c r="I91" s="63"/>
    </row>
    <row r="92" spans="2:9" x14ac:dyDescent="0.25">
      <c r="B92" s="24"/>
      <c r="C92" s="70"/>
      <c r="I92" s="63"/>
    </row>
    <row r="93" spans="2:9" x14ac:dyDescent="0.25">
      <c r="B93" s="24"/>
      <c r="C93" s="70"/>
      <c r="I93" s="63"/>
    </row>
    <row r="94" spans="2:9" x14ac:dyDescent="0.25">
      <c r="B94" s="24"/>
      <c r="C94" s="70"/>
      <c r="I94" s="63"/>
    </row>
    <row r="95" spans="2:9" x14ac:dyDescent="0.25">
      <c r="B95" s="24"/>
      <c r="C95" s="70"/>
      <c r="I95" s="63"/>
    </row>
    <row r="96" spans="2:9" x14ac:dyDescent="0.25">
      <c r="B96" s="24"/>
      <c r="C96" s="70"/>
      <c r="I96" s="63"/>
    </row>
    <row r="97" spans="2:12" x14ac:dyDescent="0.25">
      <c r="B97" s="24"/>
      <c r="C97" s="70"/>
      <c r="I97" s="63"/>
    </row>
    <row r="99" spans="2:12" x14ac:dyDescent="0.25">
      <c r="B99" s="63"/>
      <c r="C99" s="63"/>
      <c r="I99" s="65"/>
    </row>
    <row r="104" spans="2:12" x14ac:dyDescent="0.25">
      <c r="L104" s="65"/>
    </row>
    <row r="115" spans="1:2" x14ac:dyDescent="0.25">
      <c r="A115" s="7" t="s">
        <v>369</v>
      </c>
    </row>
    <row r="117" spans="1:2" x14ac:dyDescent="0.25">
      <c r="A117" s="27">
        <v>42</v>
      </c>
      <c r="B117" s="27">
        <v>105</v>
      </c>
    </row>
    <row r="118" spans="1:2" x14ac:dyDescent="0.25">
      <c r="A118" s="27">
        <v>31</v>
      </c>
      <c r="B118" s="27">
        <v>130</v>
      </c>
    </row>
    <row r="119" spans="1:2" x14ac:dyDescent="0.25">
      <c r="A119" s="27">
        <v>47</v>
      </c>
      <c r="B119" s="27">
        <v>235</v>
      </c>
    </row>
    <row r="120" spans="1:2" x14ac:dyDescent="0.25">
      <c r="A120" s="27">
        <v>58</v>
      </c>
      <c r="B120" s="27">
        <v>202</v>
      </c>
    </row>
    <row r="121" spans="1:2" x14ac:dyDescent="0.25">
      <c r="A121" s="27"/>
      <c r="B121" s="27"/>
    </row>
    <row r="122" spans="1:2" x14ac:dyDescent="0.25">
      <c r="A122" s="27"/>
      <c r="B122" s="27"/>
    </row>
    <row r="123" spans="1:2" x14ac:dyDescent="0.25">
      <c r="A123" s="27">
        <v>75</v>
      </c>
      <c r="B123" s="27">
        <v>250</v>
      </c>
    </row>
    <row r="145" spans="8:9" ht="13" x14ac:dyDescent="0.3">
      <c r="H145" s="124"/>
    </row>
    <row r="153" spans="8:9" ht="13" x14ac:dyDescent="0.3">
      <c r="I153" s="124"/>
    </row>
    <row r="162" spans="9:9" ht="13" x14ac:dyDescent="0.3">
      <c r="I162" s="124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"/>
  <sheetViews>
    <sheetView showGridLines="0" workbookViewId="0">
      <selection activeCell="H35" sqref="H35"/>
    </sheetView>
  </sheetViews>
  <sheetFormatPr defaultColWidth="9.1796875" defaultRowHeight="12.5" x14ac:dyDescent="0.25"/>
  <cols>
    <col min="1" max="1" width="14.7265625" style="7" customWidth="1"/>
    <col min="2" max="2" width="15.1796875" style="7" customWidth="1"/>
    <col min="3" max="5" width="12.7265625" style="7" customWidth="1"/>
    <col min="6" max="6" width="14.1796875" style="7" customWidth="1"/>
    <col min="7" max="8" width="12.7265625" style="7" customWidth="1"/>
    <col min="9" max="16384" width="9.1796875" style="7"/>
  </cols>
  <sheetData>
    <row r="1" spans="1:1" ht="15.5" x14ac:dyDescent="0.35">
      <c r="A1" s="75" t="s">
        <v>292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Data generator</vt:lpstr>
      <vt:lpstr>Solution</vt:lpstr>
      <vt:lpstr>Description</vt:lpstr>
      <vt:lpstr>Process</vt:lpstr>
      <vt:lpstr>Data</vt:lpstr>
      <vt:lpstr>Assignment</vt:lpstr>
      <vt:lpstr>Calc-1</vt:lpstr>
      <vt:lpstr>Calc-2</vt:lpstr>
      <vt:lpstr>Calc-3</vt:lpstr>
      <vt:lpstr>Calc-4</vt:lpstr>
      <vt:lpstr>Calc-5</vt:lpstr>
      <vt:lpstr>Solution!InstructorAssessment4A</vt:lpstr>
      <vt:lpstr>InstructorAssessment4A</vt:lpstr>
      <vt:lpstr>Data!Print_Area</vt:lpstr>
      <vt:lpstr>'Data generator'!Print_Area</vt:lpstr>
      <vt:lpstr>Description!Print_Area</vt:lpstr>
      <vt:lpstr>Solution!toc6A</vt:lpstr>
      <vt:lpstr>toc6A</vt:lpstr>
    </vt:vector>
  </TitlesOfParts>
  <Company>Auburn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Umphress</dc:creator>
  <cp:lastModifiedBy>shagu</cp:lastModifiedBy>
  <cp:lastPrinted>2003-02-19T17:50:42Z</cp:lastPrinted>
  <dcterms:created xsi:type="dcterms:W3CDTF">2001-05-29T14:24:49Z</dcterms:created>
  <dcterms:modified xsi:type="dcterms:W3CDTF">2022-05-20T09:59:46Z</dcterms:modified>
</cp:coreProperties>
</file>